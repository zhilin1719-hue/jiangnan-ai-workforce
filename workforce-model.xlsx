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c2a97ec7804f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ef48d0b3dd3947e5"/>
    <x:sheet xmlns:r="http://schemas.openxmlformats.org/officeDocument/2006/relationships" name="岗位测算" sheetId="2" r:id="Rabd1dcf322b44465"/>
    <x:sheet xmlns:r="http://schemas.openxmlformats.org/officeDocument/2006/relationships" name="任务基线" sheetId="3" r:id="Rd5ac7391dae84c40"/>
    <x:sheet xmlns:r="http://schemas.openxmlformats.org/officeDocument/2006/relationships" name="200万目标" sheetId="4" r:id="Red19bd4190884b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"/>
    <x:numFmt numFmtId="201" formatCode="0"/>
    <x:numFmt numFmtId="202" formatCode="#,##0"/>
  </x:numFmts>
  <x:fonts count="8">
    <x:font>
      <x:sz val="11"/>
      <x:name val="Carlito"/>
    </x:font>
    <x:font>
      <x:sz val="10"/>
      <x:color rgb="FF14212B"/>
      <x:name val="Microsoft YaHei"/>
    </x:font>
    <x:font>
      <x:b/>
      <x:sz val="14"/>
      <x:color rgb="FF14212B"/>
      <x:name val="Microsoft YaHei"/>
    </x:font>
    <x:font>
      <x:sz val="10"/>
      <x:color rgb="FF66737A"/>
      <x:name val="Microsoft YaHei"/>
    </x:font>
    <x:font>
      <x:b/>
      <x:sz val="10"/>
      <x:color rgb="FFFFFFFF"/>
      <x:name val="Microsoft YaHei"/>
    </x:font>
    <x:font>
      <x:b/>
      <x:sz val="15"/>
      <x:color rgb="FF14212B"/>
      <x:name val="Microsoft YaHei"/>
    </x:font>
    <x:font>
      <x:b/>
      <x:sz val="12"/>
      <x:color rgb="FF102232"/>
      <x:name val="Microsoft YaHei"/>
    </x:font>
    <x:font>
      <x:b/>
      <x:sz val="10"/>
      <x:color rgb="FF14212B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02232"/>
      </x:patternFill>
    </x:fill>
    <x:fill>
      <x:patternFill patternType="solid">
        <x:fgColor rgb="FFF7EDD9"/>
      </x:patternFill>
    </x:fill>
    <x:fill>
      <x:patternFill patternType="solid">
        <x:fgColor rgb="FFE7EFF1"/>
      </x:patternFill>
    </x:fill>
    <x:fill>
      <x:patternFill patternType="solid">
        <x:fgColor rgb="FFF8FAFA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202" fontId="6" fillId="5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201" fontId="7" fillId="4" borderId="0" xfId="0" applyNumberFormat="1" applyFont="1" applyFill="1" applyBorder="1" applyAlignment="1">
      <x:alignment vertical="center"/>
    </x:xf>
    <x:xf numFmtId="202" fontId="7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e24ecf1de245da" /><Relationship Type="http://schemas.openxmlformats.org/officeDocument/2006/relationships/theme" Target="/xl/theme/theme1.xml" Id="R6b78811391ca4fbc" /><Relationship Type="http://schemas.openxmlformats.org/officeDocument/2006/relationships/sharedStrings" Target="/xl/sharedStrings.xml" Id="R31783901606c48f9" /><Relationship Type="http://schemas.openxmlformats.org/officeDocument/2006/relationships/worksheet" Target="/xl/worksheets/sheet1.xml" Id="Ref48d0b3dd3947e5" /><Relationship Type="http://schemas.openxmlformats.org/officeDocument/2006/relationships/worksheet" Target="/xl/worksheets/sheet2.xml" Id="Rabd1dcf322b44465" /><Relationship Type="http://schemas.openxmlformats.org/officeDocument/2006/relationships/worksheet" Target="/xl/worksheets/sheet3.xml" Id="Rd5ac7391dae84c40" /><Relationship Type="http://schemas.openxmlformats.org/officeDocument/2006/relationships/worksheet" Target="/xl/worksheets/sheet4.xml" Id="Red19bd4190884b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02232"/>
  </x:sheetPr>
  <x:sheetViews>
    <x:sheetView showGridLines="0" workbookViewId="0"/>
  </x:sheetViews>
  <x:sheetFormatPr defaultRowHeight="15"/>
  <x:cols>
    <x:col min="1" max="1" width="41" hidden="0" customWidth="1"/>
    <x:col min="2" max="2" width="22" hidden="0" customWidth="1"/>
    <x:col min="4" max="4" width="72" hidden="0" customWidth="1"/>
  </x:cols>
  <x:sheetData>
    <x:row r="2">
      <x:c r="A2" s="16" t="str">
        <x:v>300 人编制优化测算</x:v>
      </x:c>
      <x:c r="B2" s="16"/>
    </x:row>
    <x:row r="3">
      <x:c r="A3" s="4" t="str">
        <x:v>先填任务基线和岗位测算，再由负责人核对服务底线与法律路径。</x:v>
      </x:c>
      <x:c r="B3" s="4"/>
    </x:row>
    <x:row r="4">
      <x:c r="A4" s="2"/>
      <x:c r="B4" s="2"/>
    </x:row>
    <x:row r="5">
      <x:c r="A5" s="17" t="str">
        <x:v>已知集团人数</x:v>
      </x:c>
      <x:c r="B5" s="2" t="n">
        <x:v>300</x:v>
      </x:c>
      <x:c r="D5" s="4" t="str">
        <x:v>使用顺序</x:v>
      </x:c>
    </x:row>
    <x:row r="6">
      <x:c r="A6" s="17" t="str">
        <x:v>每岗年工时 假设</x:v>
      </x:c>
      <x:c r="B6" s="2" t="n">
        <x:v>1800</x:v>
      </x:c>
      <x:c r="D6" s="4" t="str">
        <x:v>1 在任务基线填每月件数与前后耗时。</x:v>
      </x:c>
    </x:row>
    <x:row r="7">
      <x:c r="A7" s="17" t="str">
        <x:v>年度 AI 平台与实施费 待填</x:v>
      </x:c>
      <x:c r="B7" s="9"/>
      <x:c r="D7" s="4" t="str">
        <x:v>2 在岗位测算填各岗位人数、服务底线与成本。</x:v>
      </x:c>
    </x:row>
    <x:row r="8">
      <x:c r="A8" s="2"/>
      <x:c r="B8" s="2"/>
      <x:c r="D8" s="4" t="str">
        <x:v>3 试点验证后填实际离岗岗位与过渡成本。</x:v>
      </x:c>
    </x:row>
    <x:row r="9">
      <x:c r="A9" s="17" t="str">
        <x:v>岗位已分配人数</x:v>
      </x:c>
      <x:c r="B9" s="18" t="str">
        <x:f>IF(COUNT('岗位测算'!B6:B45)=0,"待填",SUM('岗位测算'!B6:B45))</x:f>
        <x:v>待填</x:v>
      </x:c>
      <x:c r="D9" s="4"/>
    </x:row>
    <x:row r="10">
      <x:c r="A10" s="17" t="str">
        <x:v>未分配人数</x:v>
      </x:c>
      <x:c r="B10" s="18" t="str">
        <x:f>IF(ISNUMBER(B9),B5-B9,"待填")</x:f>
        <x:v>待填</x:v>
      </x:c>
      <x:c r="D10" s="4" t="str">
        <x:v>关键约束</x:v>
      </x:c>
    </x:row>
    <x:row r="11">
      <x:c r="A11" s="17" t="str">
        <x:v>年度可释放小时</x:v>
      </x:c>
      <x:c r="B11" s="21" t="str">
        <x:f>IF(COUNT('岗位测算'!F6:F45)=0,"待填",SUM('岗位测算'!F6:F45))</x:f>
        <x:v>待填</x:v>
      </x:c>
      <x:c r="D11" s="4" t="str">
        <x:v>总人数 300 仅为用户提供；岗位分布未知。</x:v>
      </x:c>
    </x:row>
    <x:row r="12">
      <x:c r="A12" s="17" t="str">
        <x:v>可释放产能 FTE</x:v>
      </x:c>
      <x:c r="B12" s="21" t="str">
        <x:f>IF(ISNUMBER(B11),B11/B6,"待填")</x:f>
        <x:v>待填</x:v>
      </x:c>
      <x:c r="D12" s="4" t="str">
        <x:v>教师和考评岗位须先核对资格、合同与服务要求。</x:v>
      </x:c>
    </x:row>
    <x:row r="13">
      <x:c r="A13" s="17" t="str">
        <x:v>可调整岗位上限</x:v>
      </x:c>
      <x:c r="B13" s="18" t="str">
        <x:f>IF(COUNT('岗位测算'!H6:H45)=0,"待填",SUM('岗位测算'!H6:H45))</x:f>
        <x:v>待填</x:v>
      </x:c>
      <x:c r="D13" s="4" t="str">
        <x:v>潜在产能不等于可裁人数；现金节约只取实际离岗。</x:v>
      </x:c>
    </x:row>
    <x:row r="14">
      <x:c r="A14" s="17" t="str">
        <x:v>实际离岗岗位</x:v>
      </x:c>
      <x:c r="B14" s="18" t="str">
        <x:f>IF(COUNT('岗位测算'!I6:I45)=0,"待填",SUM('岗位测算'!I6:I45))</x:f>
        <x:v>待填</x:v>
      </x:c>
      <x:c r="D14" s="4" t="str">
        <x:v>个体劳动合同变更及裁减程序须由人事和法务审查。</x:v>
      </x:c>
    </x:row>
    <x:row r="15">
      <x:c r="A15" s="17" t="str">
        <x:v>年度工资节约</x:v>
      </x:c>
      <x:c r="B15" s="22" t="str">
        <x:f>IF(COUNT('岗位测算'!L6:L45)=0,"待填",SUM('岗位测算'!L6:L45))</x:f>
        <x:v>待填</x:v>
      </x:c>
    </x:row>
    <x:row r="16">
      <x:c r="A16" s="17" t="str">
        <x:v>过渡成本</x:v>
      </x:c>
      <x:c r="B16" s="22" t="str">
        <x:f>IF(OR(COUNT('岗位测算'!I6:I45)=0,COUNTIFS('岗位测算'!N6:N45,"缺过渡成本")&gt;0),"待填",SUMPRODUCT('岗位测算'!I6:I45,'岗位测算'!K6:K45))</x:f>
        <x:v>待填</x:v>
      </x:c>
    </x:row>
    <x:row r="17">
      <x:c r="A17" s="19" t="str">
        <x:v>首年净现金影响</x:v>
      </x:c>
      <x:c r="B17" s="23" t="str">
        <x:f>IF(OR(B7="",NOT(ISNUMBER(B15)),NOT(ISNUMBER(B16)),COUNTIFS('岗位测算'!N6:N45,"超出上限")&gt;0,COUNTIFS('岗位测算'!N6:N45,"缺岗位上限")&gt;0,COUNTIFS('岗位测算'!N6:N45,"缺工资成本")&gt;0),"待填",B15-B16-B7)</x:f>
        <x:v>待填</x:v>
      </x:c>
    </x:row>
    <x:row r="18">
      <x:c r="A18" s="17" t="str">
        <x:v>编制数据核对</x:v>
      </x:c>
      <x:c r="B18" s="18" t="str">
        <x:f>IF(NOT(ISNUMBER(B9)),"待填",IF(AND(B9=B5,COUNTIFS('岗位测算'!N6:N45,"超出上限")=0,COUNTIFS('岗位测算'!B6:B45,"&gt;0",'岗位测算'!N6:N45,"&lt;&gt;已核对")=0),"已核对","未核对"))</x:f>
        <x:v>待填</x:v>
      </x:c>
    </x:row>
    <x:row r="19">
      <x:c r="A19" s="2"/>
      <x:c r="B19" s="2"/>
    </x:row>
    <x:row r="20">
      <x:c r="A20" s="4" t="str">
        <x:v>来源：集团总人数及四类业务由用户提供。其他输入待集团填报；模型与口径为建议。</x:v>
      </x:c>
      <x:c r="B20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7865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8" max="8" width="18" hidden="0" customWidth="1"/>
    <x:col min="9" max="9" width="18" hidden="0" customWidth="1"/>
    <x:col min="6" max="6" width="22" hidden="0" customWidth="1"/>
    <x:col min="7" max="7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0" hidden="0" customWidth="1"/>
    <x:col min="15" max="15" width="75" hidden="0" customWidth="1"/>
  </x:cols>
  <x:sheetData>
    <x:row r="2">
      <x:c r="A2" s="3" t="str">
        <x:v>岗位编制测算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>
      <x:c r="A3" s="4" t="str">
        <x:v>黄色为待填输入。服务底线、转岗和实际离岗人数须由人事、业务与法务确认。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4" customHeight="1">
      <x:c r="A5" s="8" t="str">
        <x:v>岗位分类</x:v>
      </x:c>
      <x:c r="B5" s="8" t="str">
        <x:v>现有人数</x:v>
      </x:c>
      <x:c r="C5" s="8" t="str">
        <x:v>服务或资质底线</x:v>
      </x:c>
      <x:c r="D5" s="8" t="str">
        <x:v>需求增长预留</x:v>
      </x:c>
      <x:c r="E5" s="8" t="str">
        <x:v>拟转岗人数</x:v>
      </x:c>
      <x:c r="F5" s="8" t="str">
        <x:v>年度释放小时</x:v>
      </x:c>
      <x:c r="G5" s="8" t="str">
        <x:v>可释放产能 FTE</x:v>
      </x:c>
      <x:c r="H5" s="8" t="str">
        <x:v>可调整岗位上限</x:v>
      </x:c>
      <x:c r="I5" s="8" t="str">
        <x:v>实际离岗岗位</x:v>
      </x:c>
      <x:c r="J5" s="8" t="str">
        <x:v>年全成本 每岗</x:v>
      </x:c>
      <x:c r="K5" s="8" t="str">
        <x:v>过渡成本 每岗</x:v>
      </x:c>
      <x:c r="L5" s="8" t="str">
        <x:v>年度工资节约</x:v>
      </x:c>
      <x:c r="M5" s="8" t="str">
        <x:v>首年净额 未扣平台费</x:v>
      </x:c>
      <x:c r="N5" s="8" t="str">
        <x:v>岗位核对状态</x:v>
      </x:c>
      <x:c r="O5" s="4" t="str">
        <x:v>口径</x:v>
      </x:c>
    </x:row>
    <x:row r="6">
      <x:c r="A6" s="9" t="str">
        <x:v>招生顾问</x:v>
      </x:c>
      <x:c r="B6" s="9"/>
      <x:c r="C6" s="9"/>
      <x:c r="D6" s="9"/>
      <x:c r="E6" s="9"/>
      <x:c r="F6" s="10" t="str">
        <x:f>IF(A6="","",IF(COUNTIFS('任务基线'!$A$6:$A$105,A6,'任务基线'!$C$6:$C$105,"&gt;0")=0,"",SUMIFS('任务基线'!$F$6:$F$105,'任务基线'!$A$6:$A$105,A6)))</x:f>
      </x:c>
      <x:c r="G6" s="10" t="str">
        <x:f>IF(OR(F6="",'总览'!$B$6=""),"",F6/'总览'!$B$6)</x:f>
      </x:c>
      <x:c r="H6" s="12" t="str">
        <x:f>IF(OR(COUNT(B6:E6)&lt;4,NOT(ISNUMBER(G6))),"",MAX(0,MIN(INT(MAX(0,G6)),B6-C6-D6-E6)))</x:f>
      </x:c>
      <x:c r="I6" s="13"/>
      <x:c r="J6" s="14"/>
      <x:c r="K6" s="14"/>
      <x:c r="L6" s="15" t="str">
        <x:f>IF(OR(COUNT(I6:J6)&lt;2,NOT(ISNUMBER(H6)),I6&gt;H6),"",I6*J6)</x:f>
      </x:c>
      <x:c r="M6" s="15" t="str">
        <x:f>IF(OR(COUNT(I6:K6)&lt;3,NOT(ISNUMBER(H6)),I6&gt;H6),"",I6*(J6-K6))</x:f>
      </x:c>
      <x:c r="N6" s="2" t="str">
        <x:f>IF(NOT(ISNUMBER(I6)),"",IF(NOT(ISNUMBER(H6)),"缺岗位上限",IF(I6&gt;H6,"超出上限",IF(AND(I6&gt;0,NOT(ISNUMBER(J6))),"缺工资成本",IF(AND(I6&gt;0,NOT(ISNUMBER(K6))),"缺过渡成本","已核对")))))</x:f>
      </x:c>
      <x:c r="O6" s="4" t="str">
        <x:v>可调整岗位上限受释放产能和服务底线共同约束。</x:v>
      </x:c>
    </x:row>
    <x:row r="7">
      <x:c r="A7" s="9" t="str">
        <x:v>市场获客</x:v>
      </x:c>
      <x:c r="B7" s="9"/>
      <x:c r="C7" s="9"/>
      <x:c r="D7" s="9"/>
      <x:c r="E7" s="9"/>
      <x:c r="F7" s="10" t="str">
        <x:f>IF(A7="","",IF(COUNTIFS('任务基线'!$A$6:$A$105,A7,'任务基线'!$C$6:$C$105,"&gt;0")=0,"",SUMIFS('任务基线'!$F$6:$F$105,'任务基线'!$A$6:$A$105,A7)))</x:f>
      </x:c>
      <x:c r="G7" s="10" t="str">
        <x:f>IF(OR(F7="",'总览'!$B$6=""),"",F7/'总览'!$B$6)</x:f>
      </x:c>
      <x:c r="H7" s="12" t="str">
        <x:f>IF(OR(COUNT(B7:E7)&lt;4,NOT(ISNUMBER(G7))),"",MAX(0,MIN(INT(MAX(0,G7)),B7-C7-D7-E7)))</x:f>
      </x:c>
      <x:c r="I7" s="13"/>
      <x:c r="J7" s="14"/>
      <x:c r="K7" s="14"/>
      <x:c r="L7" s="15" t="str">
        <x:f>IF(OR(COUNT(I7:J7)&lt;2,NOT(ISNUMBER(H7)),I7&gt;H7),"",I7*J7)</x:f>
      </x:c>
      <x:c r="M7" s="15" t="str">
        <x:f>IF(OR(COUNT(I7:K7)&lt;3,NOT(ISNUMBER(H7)),I7&gt;H7),"",I7*(J7-K7))</x:f>
      </x:c>
      <x:c r="N7" s="2" t="str">
        <x:f>IF(NOT(ISNUMBER(I7)),"",IF(NOT(ISNUMBER(H7)),"缺岗位上限",IF(I7&gt;H7,"超出上限",IF(AND(I7&gt;0,NOT(ISNUMBER(J7))),"缺工资成本",IF(AND(I7&gt;0,NOT(ISNUMBER(K7))),"缺过渡成本","已核对")))))</x:f>
      </x:c>
      <x:c r="O7" s="4" t="str">
        <x:v>实际离岗岗位是填报值；不得高于可调整上限。</x:v>
      </x:c>
    </x:row>
    <x:row r="8">
      <x:c r="A8" s="9" t="str">
        <x:v>班主任与学工</x:v>
      </x:c>
      <x:c r="B8" s="9"/>
      <x:c r="C8" s="9"/>
      <x:c r="D8" s="9"/>
      <x:c r="E8" s="9"/>
      <x:c r="F8" s="10" t="str">
        <x:f>IF(A8="","",IF(COUNTIFS('任务基线'!$A$6:$A$105,A8,'任务基线'!$C$6:$C$105,"&gt;0")=0,"",SUMIFS('任务基线'!$F$6:$F$105,'任务基线'!$A$6:$A$105,A8)))</x:f>
      </x:c>
      <x:c r="G8" s="10" t="str">
        <x:f>IF(OR(F8="",'总览'!$B$6=""),"",F8/'总览'!$B$6)</x:f>
      </x:c>
      <x:c r="H8" s="12" t="str">
        <x:f>IF(OR(COUNT(B8:E8)&lt;4,NOT(ISNUMBER(G8))),"",MAX(0,MIN(INT(MAX(0,G8)),B8-C8-D8-E8)))</x:f>
      </x:c>
      <x:c r="I8" s="13"/>
      <x:c r="J8" s="14"/>
      <x:c r="K8" s="14"/>
      <x:c r="L8" s="15" t="str">
        <x:f>IF(OR(COUNT(I8:J8)&lt;2,NOT(ISNUMBER(H8)),I8&gt;H8),"",I8*J8)</x:f>
      </x:c>
      <x:c r="M8" s="15" t="str">
        <x:f>IF(OR(COUNT(I8:K8)&lt;3,NOT(ISNUMBER(H8)),I8&gt;H8),"",I8*(J8-K8))</x:f>
      </x:c>
      <x:c r="N8" s="2" t="str">
        <x:f>IF(NOT(ISNUMBER(I8)),"",IF(NOT(ISNUMBER(H8)),"缺岗位上限",IF(I8&gt;H8,"超出上限",IF(AND(I8&gt;0,NOT(ISNUMBER(J8))),"缺工资成本",IF(AND(I8&gt;0,NOT(ISNUMBER(K8))),"缺过渡成本","已核对")))))</x:f>
      </x:c>
      <x:c r="O8" s="4" t="str">
        <x:v>工资节约仅计入实际离岗；转岗节时不算现金节约。</x:v>
      </x:c>
    </x:row>
    <x:row r="9">
      <x:c r="A9" s="9" t="str">
        <x:v>综合高中教师</x:v>
      </x:c>
      <x:c r="B9" s="9"/>
      <x:c r="C9" s="9"/>
      <x:c r="D9" s="9"/>
      <x:c r="E9" s="9"/>
      <x:c r="F9" s="10" t="str">
        <x:f>IF(A9="","",IF(COUNTIFS('任务基线'!$A$6:$A$105,A9,'任务基线'!$C$6:$C$105,"&gt;0")=0,"",SUMIFS('任务基线'!$F$6:$F$105,'任务基线'!$A$6:$A$105,A9)))</x:f>
      </x:c>
      <x:c r="G9" s="10" t="str">
        <x:f>IF(OR(F9="",'总览'!$B$6=""),"",F9/'总览'!$B$6)</x:f>
      </x:c>
      <x:c r="H9" s="12" t="str">
        <x:f>IF(OR(COUNT(B9:E9)&lt;4,NOT(ISNUMBER(G9))),"",MAX(0,MIN(INT(MAX(0,G9)),B9-C9-D9-E9)))</x:f>
      </x:c>
      <x:c r="I9" s="13"/>
      <x:c r="J9" s="14"/>
      <x:c r="K9" s="14"/>
      <x:c r="L9" s="15" t="str">
        <x:f>IF(OR(COUNT(I9:J9)&lt;2,NOT(ISNUMBER(H9)),I9&gt;H9),"",I9*J9)</x:f>
      </x:c>
      <x:c r="M9" s="15" t="str">
        <x:f>IF(OR(COUNT(I9:K9)&lt;3,NOT(ISNUMBER(H9)),I9&gt;H9),"",I9*(J9-K9))</x:f>
      </x:c>
      <x:c r="N9" s="2" t="str">
        <x:f>IF(NOT(ISNUMBER(I9)),"",IF(NOT(ISNUMBER(H9)),"缺岗位上限",IF(I9&gt;H9,"超出上限",IF(AND(I9&gt;0,NOT(ISNUMBER(J9))),"缺工资成本",IF(AND(I9&gt;0,NOT(ISNUMBER(K9))),"缺过渡成本","已核对")))))</x:f>
      </x:c>
      <x:c r="O9" s="4" t="str">
        <x:v>过渡成本含培训、补偿、招聘替换及法律顾问费用。</x:v>
      </x:c>
    </x:row>
    <x:row r="10">
      <x:c r="A10" s="9" t="str">
        <x:v>职业教育教师</x:v>
      </x:c>
      <x:c r="B10" s="9"/>
      <x:c r="C10" s="9"/>
      <x:c r="D10" s="9"/>
      <x:c r="E10" s="9"/>
      <x:c r="F10" s="10" t="str">
        <x:f>IF(A10="","",IF(COUNTIFS('任务基线'!$A$6:$A$105,A10,'任务基线'!$C$6:$C$105,"&gt;0")=0,"",SUMIFS('任务基线'!$F$6:$F$105,'任务基线'!$A$6:$A$105,A10)))</x:f>
      </x:c>
      <x:c r="G10" s="10" t="str">
        <x:f>IF(OR(F10="",'总览'!$B$6=""),"",F10/'总览'!$B$6)</x:f>
      </x:c>
      <x:c r="H10" s="12" t="str">
        <x:f>IF(OR(COUNT(B10:E10)&lt;4,NOT(ISNUMBER(G10))),"",MAX(0,MIN(INT(MAX(0,G10)),B10-C10-D10-E10)))</x:f>
      </x:c>
      <x:c r="I10" s="13"/>
      <x:c r="J10" s="14"/>
      <x:c r="K10" s="14"/>
      <x:c r="L10" s="15" t="str">
        <x:f>IF(OR(COUNT(I10:J10)&lt;2,NOT(ISNUMBER(H10)),I10&gt;H10),"",I10*J10)</x:f>
      </x:c>
      <x:c r="M10" s="15" t="str">
        <x:f>IF(OR(COUNT(I10:K10)&lt;3,NOT(ISNUMBER(H10)),I10&gt;H10),"",I10*(J10-K10))</x:f>
      </x:c>
      <x:c r="N10" s="2" t="str">
        <x:f>IF(NOT(ISNUMBER(I10)),"",IF(NOT(ISNUMBER(H10)),"缺岗位上限",IF(I10&gt;H10,"超出上限",IF(AND(I10&gt;0,NOT(ISNUMBER(J10))),"缺工资成本",IF(AND(I10&gt;0,NOT(ISNUMBER(K10))),"缺过渡成本","已核对")))))</x:f>
      </x:c>
    </x:row>
    <x:row r="11">
      <x:c r="A11" s="9" t="str">
        <x:v>教研与课程</x:v>
      </x:c>
      <x:c r="B11" s="9"/>
      <x:c r="C11" s="9"/>
      <x:c r="D11" s="9"/>
      <x:c r="E11" s="9"/>
      <x:c r="F11" s="10" t="str">
        <x:f>IF(A11="","",IF(COUNTIFS('任务基线'!$A$6:$A$105,A11,'任务基线'!$C$6:$C$105,"&gt;0")=0,"",SUMIFS('任务基线'!$F$6:$F$105,'任务基线'!$A$6:$A$105,A11)))</x:f>
      </x:c>
      <x:c r="G11" s="10" t="str">
        <x:f>IF(OR(F11="",'总览'!$B$6=""),"",F11/'总览'!$B$6)</x:f>
      </x:c>
      <x:c r="H11" s="12" t="str">
        <x:f>IF(OR(COUNT(B11:E11)&lt;4,NOT(ISNUMBER(G11))),"",MAX(0,MIN(INT(MAX(0,G11)),B11-C11-D11-E11)))</x:f>
      </x:c>
      <x:c r="I11" s="13"/>
      <x:c r="J11" s="14"/>
      <x:c r="K11" s="14"/>
      <x:c r="L11" s="15" t="str">
        <x:f>IF(OR(COUNT(I11:J11)&lt;2,NOT(ISNUMBER(H11)),I11&gt;H11),"",I11*J11)</x:f>
      </x:c>
      <x:c r="M11" s="15" t="str">
        <x:f>IF(OR(COUNT(I11:K11)&lt;3,NOT(ISNUMBER(H11)),I11&gt;H11),"",I11*(J11-K11))</x:f>
      </x:c>
      <x:c r="N11" s="2" t="str">
        <x:f>IF(NOT(ISNUMBER(I11)),"",IF(NOT(ISNUMBER(H11)),"缺岗位上限",IF(I11&gt;H11,"超出上限",IF(AND(I11&gt;0,NOT(ISNUMBER(J11))),"缺工资成本",IF(AND(I11&gt;0,NOT(ISNUMBER(K11))),"缺过渡成本","已核对")))))</x:f>
      </x:c>
    </x:row>
    <x:row r="12">
      <x:c r="A12" s="9" t="str">
        <x:v>教务</x:v>
      </x:c>
      <x:c r="B12" s="9"/>
      <x:c r="C12" s="9"/>
      <x:c r="D12" s="9"/>
      <x:c r="E12" s="9"/>
      <x:c r="F12" s="10" t="str">
        <x:f>IF(A12="","",IF(COUNTIFS('任务基线'!$A$6:$A$105,A12,'任务基线'!$C$6:$C$105,"&gt;0")=0,"",SUMIFS('任务基线'!$F$6:$F$105,'任务基线'!$A$6:$A$105,A12)))</x:f>
      </x:c>
      <x:c r="G12" s="10" t="str">
        <x:f>IF(OR(F12="",'总览'!$B$6=""),"",F12/'总览'!$B$6)</x:f>
      </x:c>
      <x:c r="H12" s="12" t="str">
        <x:f>IF(OR(COUNT(B12:E12)&lt;4,NOT(ISNUMBER(G12))),"",MAX(0,MIN(INT(MAX(0,G12)),B12-C12-D12-E12)))</x:f>
      </x:c>
      <x:c r="I12" s="13"/>
      <x:c r="J12" s="14"/>
      <x:c r="K12" s="14"/>
      <x:c r="L12" s="15" t="str">
        <x:f>IF(OR(COUNT(I12:J12)&lt;2,NOT(ISNUMBER(H12)),I12&gt;H12),"",I12*J12)</x:f>
      </x:c>
      <x:c r="M12" s="15" t="str">
        <x:f>IF(OR(COUNT(I12:K12)&lt;3,NOT(ISNUMBER(H12)),I12&gt;H12),"",I12*(J12-K12))</x:f>
      </x:c>
      <x:c r="N12" s="2" t="str">
        <x:f>IF(NOT(ISNUMBER(I12)),"",IF(NOT(ISNUMBER(H12)),"缺岗位上限",IF(I12&gt;H12,"超出上限",IF(AND(I12&gt;0,NOT(ISNUMBER(J12))),"缺工资成本",IF(AND(I12&gt;0,NOT(ISNUMBER(K12))),"缺过渡成本","已核对")))))</x:f>
      </x:c>
    </x:row>
    <x:row r="13">
      <x:c r="A13" s="9" t="str">
        <x:v>技能认定考务</x:v>
      </x:c>
      <x:c r="B13" s="9"/>
      <x:c r="C13" s="9"/>
      <x:c r="D13" s="9"/>
      <x:c r="E13" s="9"/>
      <x:c r="F13" s="10" t="str">
        <x:f>IF(A13="","",IF(COUNTIFS('任务基线'!$A$6:$A$105,A13,'任务基线'!$C$6:$C$105,"&gt;0")=0,"",SUMIFS('任务基线'!$F$6:$F$105,'任务基线'!$A$6:$A$105,A13)))</x:f>
      </x:c>
      <x:c r="G13" s="10" t="str">
        <x:f>IF(OR(F13="",'总览'!$B$6=""),"",F13/'总览'!$B$6)</x:f>
      </x:c>
      <x:c r="H13" s="12" t="str">
        <x:f>IF(OR(COUNT(B13:E13)&lt;4,NOT(ISNUMBER(G13))),"",MAX(0,MIN(INT(MAX(0,G13)),B13-C13-D13-E13)))</x:f>
      </x:c>
      <x:c r="I13" s="13"/>
      <x:c r="J13" s="14"/>
      <x:c r="K13" s="14"/>
      <x:c r="L13" s="15" t="str">
        <x:f>IF(OR(COUNT(I13:J13)&lt;2,NOT(ISNUMBER(H13)),I13&gt;H13),"",I13*J13)</x:f>
      </x:c>
      <x:c r="M13" s="15" t="str">
        <x:f>IF(OR(COUNT(I13:K13)&lt;3,NOT(ISNUMBER(H13)),I13&gt;H13),"",I13*(J13-K13))</x:f>
      </x:c>
      <x:c r="N13" s="2" t="str">
        <x:f>IF(NOT(ISNUMBER(I13)),"",IF(NOT(ISNUMBER(H13)),"缺岗位上限",IF(I13&gt;H13,"超出上限",IF(AND(I13&gt;0,NOT(ISNUMBER(J13))),"缺工资成本",IF(AND(I13&gt;0,NOT(ISNUMBER(K13))),"缺过渡成本","已核对")))))</x:f>
      </x:c>
    </x:row>
    <x:row r="14">
      <x:c r="A14" s="9" t="str">
        <x:v>国际教育顾问</x:v>
      </x:c>
      <x:c r="B14" s="9"/>
      <x:c r="C14" s="9"/>
      <x:c r="D14" s="9"/>
      <x:c r="E14" s="9"/>
      <x:c r="F14" s="10" t="str">
        <x:f>IF(A14="","",IF(COUNTIFS('任务基线'!$A$6:$A$105,A14,'任务基线'!$C$6:$C$105,"&gt;0")=0,"",SUMIFS('任务基线'!$F$6:$F$105,'任务基线'!$A$6:$A$105,A14)))</x:f>
      </x:c>
      <x:c r="G14" s="10" t="str">
        <x:f>IF(OR(F14="",'总览'!$B$6=""),"",F14/'总览'!$B$6)</x:f>
      </x:c>
      <x:c r="H14" s="12" t="str">
        <x:f>IF(OR(COUNT(B14:E14)&lt;4,NOT(ISNUMBER(G14))),"",MAX(0,MIN(INT(MAX(0,G14)),B14-C14-D14-E14)))</x:f>
      </x:c>
      <x:c r="I14" s="13"/>
      <x:c r="J14" s="14"/>
      <x:c r="K14" s="14"/>
      <x:c r="L14" s="15" t="str">
        <x:f>IF(OR(COUNT(I14:J14)&lt;2,NOT(ISNUMBER(H14)),I14&gt;H14),"",I14*J14)</x:f>
      </x:c>
      <x:c r="M14" s="15" t="str">
        <x:f>IF(OR(COUNT(I14:K14)&lt;3,NOT(ISNUMBER(H14)),I14&gt;H14),"",I14*(J14-K14))</x:f>
      </x:c>
      <x:c r="N14" s="2" t="str">
        <x:f>IF(NOT(ISNUMBER(I14)),"",IF(NOT(ISNUMBER(H14)),"缺岗位上限",IF(I14&gt;H14,"超出上限",IF(AND(I14&gt;0,NOT(ISNUMBER(J14))),"缺工资成本",IF(AND(I14&gt;0,NOT(ISNUMBER(K14))),"缺过渡成本","已核对")))))</x:f>
      </x:c>
    </x:row>
    <x:row r="15">
      <x:c r="A15" s="9" t="str">
        <x:v>财务</x:v>
      </x:c>
      <x:c r="B15" s="9"/>
      <x:c r="C15" s="9"/>
      <x:c r="D15" s="9"/>
      <x:c r="E15" s="9"/>
      <x:c r="F15" s="10" t="str">
        <x:f>IF(A15="","",IF(COUNTIFS('任务基线'!$A$6:$A$105,A15,'任务基线'!$C$6:$C$105,"&gt;0")=0,"",SUMIFS('任务基线'!$F$6:$F$105,'任务基线'!$A$6:$A$105,A15)))</x:f>
      </x:c>
      <x:c r="G15" s="10" t="str">
        <x:f>IF(OR(F15="",'总览'!$B$6=""),"",F15/'总览'!$B$6)</x:f>
      </x:c>
      <x:c r="H15" s="12" t="str">
        <x:f>IF(OR(COUNT(B15:E15)&lt;4,NOT(ISNUMBER(G15))),"",MAX(0,MIN(INT(MAX(0,G15)),B15-C15-D15-E15)))</x:f>
      </x:c>
      <x:c r="I15" s="13"/>
      <x:c r="J15" s="14"/>
      <x:c r="K15" s="14"/>
      <x:c r="L15" s="15" t="str">
        <x:f>IF(OR(COUNT(I15:J15)&lt;2,NOT(ISNUMBER(H15)),I15&gt;H15),"",I15*J15)</x:f>
      </x:c>
      <x:c r="M15" s="15" t="str">
        <x:f>IF(OR(COUNT(I15:K15)&lt;3,NOT(ISNUMBER(H15)),I15&gt;H15),"",I15*(J15-K15))</x:f>
      </x:c>
      <x:c r="N15" s="2" t="str">
        <x:f>IF(NOT(ISNUMBER(I15)),"",IF(NOT(ISNUMBER(H15)),"缺岗位上限",IF(I15&gt;H15,"超出上限",IF(AND(I15&gt;0,NOT(ISNUMBER(J15))),"缺工资成本",IF(AND(I15&gt;0,NOT(ISNUMBER(K15))),"缺过渡成本","已核对")))))</x:f>
      </x:c>
    </x:row>
    <x:row r="16">
      <x:c r="A16" s="9" t="str">
        <x:v>人事行政</x:v>
      </x:c>
      <x:c r="B16" s="9"/>
      <x:c r="C16" s="9"/>
      <x:c r="D16" s="9"/>
      <x:c r="E16" s="9"/>
      <x:c r="F16" s="10" t="str">
        <x:f>IF(A16="","",IF(COUNTIFS('任务基线'!$A$6:$A$105,A16,'任务基线'!$C$6:$C$105,"&gt;0")=0,"",SUMIFS('任务基线'!$F$6:$F$105,'任务基线'!$A$6:$A$105,A16)))</x:f>
      </x:c>
      <x:c r="G16" s="10" t="str">
        <x:f>IF(OR(F16="",'总览'!$B$6=""),"",F16/'总览'!$B$6)</x:f>
      </x:c>
      <x:c r="H16" s="12" t="str">
        <x:f>IF(OR(COUNT(B16:E16)&lt;4,NOT(ISNUMBER(G16))),"",MAX(0,MIN(INT(MAX(0,G16)),B16-C16-D16-E16)))</x:f>
      </x:c>
      <x:c r="I16" s="13"/>
      <x:c r="J16" s="14"/>
      <x:c r="K16" s="14"/>
      <x:c r="L16" s="15" t="str">
        <x:f>IF(OR(COUNT(I16:J16)&lt;2,NOT(ISNUMBER(H16)),I16&gt;H16),"",I16*J16)</x:f>
      </x:c>
      <x:c r="M16" s="15" t="str">
        <x:f>IF(OR(COUNT(I16:K16)&lt;3,NOT(ISNUMBER(H16)),I16&gt;H16),"",I16*(J16-K16))</x:f>
      </x:c>
      <x:c r="N16" s="2" t="str">
        <x:f>IF(NOT(ISNUMBER(I16)),"",IF(NOT(ISNUMBER(H16)),"缺岗位上限",IF(I16&gt;H16,"超出上限",IF(AND(I16&gt;0,NOT(ISNUMBER(J16))),"缺工资成本",IF(AND(I16&gt;0,NOT(ISNUMBER(K16))),"缺过渡成本","已核对")))))</x:f>
      </x:c>
    </x:row>
    <x:row r="17">
      <x:c r="A17" s="9" t="str">
        <x:v>信息技术</x:v>
      </x:c>
      <x:c r="B17" s="9"/>
      <x:c r="C17" s="9"/>
      <x:c r="D17" s="9"/>
      <x:c r="E17" s="9"/>
      <x:c r="F17" s="10" t="str">
        <x:f>IF(A17="","",IF(COUNTIFS('任务基线'!$A$6:$A$105,A17,'任务基线'!$C$6:$C$105,"&gt;0")=0,"",SUMIFS('任务基线'!$F$6:$F$105,'任务基线'!$A$6:$A$105,A17)))</x:f>
      </x:c>
      <x:c r="G17" s="10" t="str">
        <x:f>IF(OR(F17="",'总览'!$B$6=""),"",F17/'总览'!$B$6)</x:f>
      </x:c>
      <x:c r="H17" s="12" t="str">
        <x:f>IF(OR(COUNT(B17:E17)&lt;4,NOT(ISNUMBER(G17))),"",MAX(0,MIN(INT(MAX(0,G17)),B17-C17-D17-E17)))</x:f>
      </x:c>
      <x:c r="I17" s="13"/>
      <x:c r="J17" s="14"/>
      <x:c r="K17" s="14"/>
      <x:c r="L17" s="15" t="str">
        <x:f>IF(OR(COUNT(I17:J17)&lt;2,NOT(ISNUMBER(H17)),I17&gt;H17),"",I17*J17)</x:f>
      </x:c>
      <x:c r="M17" s="15" t="str">
        <x:f>IF(OR(COUNT(I17:K17)&lt;3,NOT(ISNUMBER(H17)),I17&gt;H17),"",I17*(J17-K17))</x:f>
      </x:c>
      <x:c r="N17" s="2" t="str">
        <x:f>IF(NOT(ISNUMBER(I17)),"",IF(NOT(ISNUMBER(H17)),"缺岗位上限",IF(I17&gt;H17,"超出上限",IF(AND(I17&gt;0,NOT(ISNUMBER(J17))),"缺工资成本",IF(AND(I17&gt;0,NOT(ISNUMBER(K17))),"缺过渡成本","已核对")))))</x:f>
      </x:c>
    </x:row>
    <x:row r="18">
      <x:c r="A18" s="9" t="str">
        <x:v>其他</x:v>
      </x:c>
      <x:c r="B18" s="9"/>
      <x:c r="C18" s="9"/>
      <x:c r="D18" s="9"/>
      <x:c r="E18" s="9"/>
      <x:c r="F18" s="10" t="str">
        <x:f>IF(A18="","",IF(COUNTIFS('任务基线'!$A$6:$A$105,A18,'任务基线'!$C$6:$C$105,"&gt;0")=0,"",SUMIFS('任务基线'!$F$6:$F$105,'任务基线'!$A$6:$A$105,A18)))</x:f>
      </x:c>
      <x:c r="G18" s="10" t="str">
        <x:f>IF(OR(F18="",'总览'!$B$6=""),"",F18/'总览'!$B$6)</x:f>
      </x:c>
      <x:c r="H18" s="12" t="str">
        <x:f>IF(OR(COUNT(B18:E18)&lt;4,NOT(ISNUMBER(G18))),"",MAX(0,MIN(INT(MAX(0,G18)),B18-C18-D18-E18)))</x:f>
      </x:c>
      <x:c r="I18" s="13"/>
      <x:c r="J18" s="14"/>
      <x:c r="K18" s="14"/>
      <x:c r="L18" s="15" t="str">
        <x:f>IF(OR(COUNT(I18:J18)&lt;2,NOT(ISNUMBER(H18)),I18&gt;H18),"",I18*J18)</x:f>
      </x:c>
      <x:c r="M18" s="15" t="str">
        <x:f>IF(OR(COUNT(I18:K18)&lt;3,NOT(ISNUMBER(H18)),I18&gt;H18),"",I18*(J18-K18))</x:f>
      </x:c>
      <x:c r="N18" s="2" t="str">
        <x:f>IF(NOT(ISNUMBER(I18)),"",IF(NOT(ISNUMBER(H18)),"缺岗位上限",IF(I18&gt;H18,"超出上限",IF(AND(I18&gt;0,NOT(ISNUMBER(J18))),"缺工资成本",IF(AND(I18&gt;0,NOT(ISNUMBER(K18))),"缺过渡成本","已核对")))))</x:f>
      </x:c>
    </x:row>
    <x:row r="19">
      <x:c r="A19" s="9"/>
      <x:c r="B19" s="9"/>
      <x:c r="C19" s="9"/>
      <x:c r="D19" s="9"/>
      <x:c r="E19" s="9"/>
      <x:c r="F19" s="10" t="str">
        <x:f>IF(A19="","",IF(COUNTIFS('任务基线'!$A$6:$A$105,A19,'任务基线'!$C$6:$C$105,"&gt;0")=0,"",SUMIFS('任务基线'!$F$6:$F$105,'任务基线'!$A$6:$A$105,A19)))</x:f>
      </x:c>
      <x:c r="G19" s="10" t="str">
        <x:f>IF(OR(F19="",'总览'!$B$6=""),"",F19/'总览'!$B$6)</x:f>
      </x:c>
      <x:c r="H19" s="12" t="str">
        <x:f>IF(OR(COUNT(B19:E19)&lt;4,NOT(ISNUMBER(G19))),"",MAX(0,MIN(INT(MAX(0,G19)),B19-C19-D19-E19)))</x:f>
      </x:c>
      <x:c r="I19" s="13"/>
      <x:c r="J19" s="14"/>
      <x:c r="K19" s="14"/>
      <x:c r="L19" s="15" t="str">
        <x:f>IF(OR(COUNT(I19:J19)&lt;2,NOT(ISNUMBER(H19)),I19&gt;H19),"",I19*J19)</x:f>
      </x:c>
      <x:c r="M19" s="15" t="str">
        <x:f>IF(OR(COUNT(I19:K19)&lt;3,NOT(ISNUMBER(H19)),I19&gt;H19),"",I19*(J19-K19))</x:f>
      </x:c>
      <x:c r="N19" s="2" t="str">
        <x:f>IF(NOT(ISNUMBER(I19)),"",IF(NOT(ISNUMBER(H19)),"缺岗位上限",IF(I19&gt;H19,"超出上限",IF(AND(I19&gt;0,NOT(ISNUMBER(J19))),"缺工资成本",IF(AND(I19&gt;0,NOT(ISNUMBER(K19))),"缺过渡成本","已核对")))))</x:f>
      </x:c>
    </x:row>
    <x:row r="20">
      <x:c r="A20" s="9"/>
      <x:c r="B20" s="9"/>
      <x:c r="C20" s="9"/>
      <x:c r="D20" s="9"/>
      <x:c r="E20" s="9"/>
      <x:c r="F20" s="10" t="str">
        <x:f>IF(A20="","",IF(COUNTIFS('任务基线'!$A$6:$A$105,A20,'任务基线'!$C$6:$C$105,"&gt;0")=0,"",SUMIFS('任务基线'!$F$6:$F$105,'任务基线'!$A$6:$A$105,A20)))</x:f>
      </x:c>
      <x:c r="G20" s="10" t="str">
        <x:f>IF(OR(F20="",'总览'!$B$6=""),"",F20/'总览'!$B$6)</x:f>
      </x:c>
      <x:c r="H20" s="12" t="str">
        <x:f>IF(OR(COUNT(B20:E20)&lt;4,NOT(ISNUMBER(G20))),"",MAX(0,MIN(INT(MAX(0,G20)),B20-C20-D20-E20)))</x:f>
      </x:c>
      <x:c r="I20" s="13"/>
      <x:c r="J20" s="14"/>
      <x:c r="K20" s="14"/>
      <x:c r="L20" s="15" t="str">
        <x:f>IF(OR(COUNT(I20:J20)&lt;2,NOT(ISNUMBER(H20)),I20&gt;H20),"",I20*J20)</x:f>
      </x:c>
      <x:c r="M20" s="15" t="str">
        <x:f>IF(OR(COUNT(I20:K20)&lt;3,NOT(ISNUMBER(H20)),I20&gt;H20),"",I20*(J20-K20))</x:f>
      </x:c>
      <x:c r="N20" s="2" t="str">
        <x:f>IF(NOT(ISNUMBER(I20)),"",IF(NOT(ISNUMBER(H20)),"缺岗位上限",IF(I20&gt;H20,"超出上限",IF(AND(I20&gt;0,NOT(ISNUMBER(J20))),"缺工资成本",IF(AND(I20&gt;0,NOT(ISNUMBER(K20))),"缺过渡成本","已核对")))))</x:f>
      </x:c>
    </x:row>
    <x:row r="21">
      <x:c r="A21" s="9"/>
      <x:c r="B21" s="9"/>
      <x:c r="C21" s="9"/>
      <x:c r="D21" s="9"/>
      <x:c r="E21" s="9"/>
      <x:c r="F21" s="10" t="str">
        <x:f>IF(A21="","",IF(COUNTIFS('任务基线'!$A$6:$A$105,A21,'任务基线'!$C$6:$C$105,"&gt;0")=0,"",SUMIFS('任务基线'!$F$6:$F$105,'任务基线'!$A$6:$A$105,A21)))</x:f>
      </x:c>
      <x:c r="G21" s="10" t="str">
        <x:f>IF(OR(F21="",'总览'!$B$6=""),"",F21/'总览'!$B$6)</x:f>
      </x:c>
      <x:c r="H21" s="12" t="str">
        <x:f>IF(OR(COUNT(B21:E21)&lt;4,NOT(ISNUMBER(G21))),"",MAX(0,MIN(INT(MAX(0,G21)),B21-C21-D21-E21)))</x:f>
      </x:c>
      <x:c r="I21" s="13"/>
      <x:c r="J21" s="14"/>
      <x:c r="K21" s="14"/>
      <x:c r="L21" s="15" t="str">
        <x:f>IF(OR(COUNT(I21:J21)&lt;2,NOT(ISNUMBER(H21)),I21&gt;H21),"",I21*J21)</x:f>
      </x:c>
      <x:c r="M21" s="15" t="str">
        <x:f>IF(OR(COUNT(I21:K21)&lt;3,NOT(ISNUMBER(H21)),I21&gt;H21),"",I21*(J21-K21))</x:f>
      </x:c>
      <x:c r="N21" s="2" t="str">
        <x:f>IF(NOT(ISNUMBER(I21)),"",IF(NOT(ISNUMBER(H21)),"缺岗位上限",IF(I21&gt;H21,"超出上限",IF(AND(I21&gt;0,NOT(ISNUMBER(J21))),"缺工资成本",IF(AND(I21&gt;0,NOT(ISNUMBER(K21))),"缺过渡成本","已核对")))))</x:f>
      </x:c>
    </x:row>
    <x:row r="22">
      <x:c r="A22" s="9"/>
      <x:c r="B22" s="9"/>
      <x:c r="C22" s="9"/>
      <x:c r="D22" s="9"/>
      <x:c r="E22" s="9"/>
      <x:c r="F22" s="10" t="str">
        <x:f>IF(A22="","",IF(COUNTIFS('任务基线'!$A$6:$A$105,A22,'任务基线'!$C$6:$C$105,"&gt;0")=0,"",SUMIFS('任务基线'!$F$6:$F$105,'任务基线'!$A$6:$A$105,A22)))</x:f>
      </x:c>
      <x:c r="G22" s="10" t="str">
        <x:f>IF(OR(F22="",'总览'!$B$6=""),"",F22/'总览'!$B$6)</x:f>
      </x:c>
      <x:c r="H22" s="12" t="str">
        <x:f>IF(OR(COUNT(B22:E22)&lt;4,NOT(ISNUMBER(G22))),"",MAX(0,MIN(INT(MAX(0,G22)),B22-C22-D22-E22)))</x:f>
      </x:c>
      <x:c r="I22" s="13"/>
      <x:c r="J22" s="14"/>
      <x:c r="K22" s="14"/>
      <x:c r="L22" s="15" t="str">
        <x:f>IF(OR(COUNT(I22:J22)&lt;2,NOT(ISNUMBER(H22)),I22&gt;H22),"",I22*J22)</x:f>
      </x:c>
      <x:c r="M22" s="15" t="str">
        <x:f>IF(OR(COUNT(I22:K22)&lt;3,NOT(ISNUMBER(H22)),I22&gt;H22),"",I22*(J22-K22))</x:f>
      </x:c>
      <x:c r="N22" s="2" t="str">
        <x:f>IF(NOT(ISNUMBER(I22)),"",IF(NOT(ISNUMBER(H22)),"缺岗位上限",IF(I22&gt;H22,"超出上限",IF(AND(I22&gt;0,NOT(ISNUMBER(J22))),"缺工资成本",IF(AND(I22&gt;0,NOT(ISNUMBER(K22))),"缺过渡成本","已核对")))))</x:f>
      </x:c>
    </x:row>
    <x:row r="23">
      <x:c r="A23" s="9"/>
      <x:c r="B23" s="9"/>
      <x:c r="C23" s="9"/>
      <x:c r="D23" s="9"/>
      <x:c r="E23" s="9"/>
      <x:c r="F23" s="10" t="str">
        <x:f>IF(A23="","",IF(COUNTIFS('任务基线'!$A$6:$A$105,A23,'任务基线'!$C$6:$C$105,"&gt;0")=0,"",SUMIFS('任务基线'!$F$6:$F$105,'任务基线'!$A$6:$A$105,A23)))</x:f>
      </x:c>
      <x:c r="G23" s="10" t="str">
        <x:f>IF(OR(F23="",'总览'!$B$6=""),"",F23/'总览'!$B$6)</x:f>
      </x:c>
      <x:c r="H23" s="12" t="str">
        <x:f>IF(OR(COUNT(B23:E23)&lt;4,NOT(ISNUMBER(G23))),"",MAX(0,MIN(INT(MAX(0,G23)),B23-C23-D23-E23)))</x:f>
      </x:c>
      <x:c r="I23" s="13"/>
      <x:c r="J23" s="14"/>
      <x:c r="K23" s="14"/>
      <x:c r="L23" s="15" t="str">
        <x:f>IF(OR(COUNT(I23:J23)&lt;2,NOT(ISNUMBER(H23)),I23&gt;H23),"",I23*J23)</x:f>
      </x:c>
      <x:c r="M23" s="15" t="str">
        <x:f>IF(OR(COUNT(I23:K23)&lt;3,NOT(ISNUMBER(H23)),I23&gt;H23),"",I23*(J23-K23))</x:f>
      </x:c>
      <x:c r="N23" s="2" t="str">
        <x:f>IF(NOT(ISNUMBER(I23)),"",IF(NOT(ISNUMBER(H23)),"缺岗位上限",IF(I23&gt;H23,"超出上限",IF(AND(I23&gt;0,NOT(ISNUMBER(J23))),"缺工资成本",IF(AND(I23&gt;0,NOT(ISNUMBER(K23))),"缺过渡成本","已核对")))))</x:f>
      </x:c>
    </x:row>
    <x:row r="24">
      <x:c r="A24" s="9"/>
      <x:c r="B24" s="9"/>
      <x:c r="C24" s="9"/>
      <x:c r="D24" s="9"/>
      <x:c r="E24" s="9"/>
      <x:c r="F24" s="10" t="str">
        <x:f>IF(A24="","",IF(COUNTIFS('任务基线'!$A$6:$A$105,A24,'任务基线'!$C$6:$C$105,"&gt;0")=0,"",SUMIFS('任务基线'!$F$6:$F$105,'任务基线'!$A$6:$A$105,A24)))</x:f>
      </x:c>
      <x:c r="G24" s="10" t="str">
        <x:f>IF(OR(F24="",'总览'!$B$6=""),"",F24/'总览'!$B$6)</x:f>
      </x:c>
      <x:c r="H24" s="12" t="str">
        <x:f>IF(OR(COUNT(B24:E24)&lt;4,NOT(ISNUMBER(G24))),"",MAX(0,MIN(INT(MAX(0,G24)),B24-C24-D24-E24)))</x:f>
      </x:c>
      <x:c r="I24" s="13"/>
      <x:c r="J24" s="14"/>
      <x:c r="K24" s="14"/>
      <x:c r="L24" s="15" t="str">
        <x:f>IF(OR(COUNT(I24:J24)&lt;2,NOT(ISNUMBER(H24)),I24&gt;H24),"",I24*J24)</x:f>
      </x:c>
      <x:c r="M24" s="15" t="str">
        <x:f>IF(OR(COUNT(I24:K24)&lt;3,NOT(ISNUMBER(H24)),I24&gt;H24),"",I24*(J24-K24))</x:f>
      </x:c>
      <x:c r="N24" s="2" t="str">
        <x:f>IF(NOT(ISNUMBER(I24)),"",IF(NOT(ISNUMBER(H24)),"缺岗位上限",IF(I24&gt;H24,"超出上限",IF(AND(I24&gt;0,NOT(ISNUMBER(J24))),"缺工资成本",IF(AND(I24&gt;0,NOT(ISNUMBER(K24))),"缺过渡成本","已核对")))))</x:f>
      </x:c>
    </x:row>
    <x:row r="25">
      <x:c r="A25" s="9"/>
      <x:c r="B25" s="9"/>
      <x:c r="C25" s="9"/>
      <x:c r="D25" s="9"/>
      <x:c r="E25" s="9"/>
      <x:c r="F25" s="10" t="str">
        <x:f>IF(A25="","",IF(COUNTIFS('任务基线'!$A$6:$A$105,A25,'任务基线'!$C$6:$C$105,"&gt;0")=0,"",SUMIFS('任务基线'!$F$6:$F$105,'任务基线'!$A$6:$A$105,A25)))</x:f>
      </x:c>
      <x:c r="G25" s="10" t="str">
        <x:f>IF(OR(F25="",'总览'!$B$6=""),"",F25/'总览'!$B$6)</x:f>
      </x:c>
      <x:c r="H25" s="12" t="str">
        <x:f>IF(OR(COUNT(B25:E25)&lt;4,NOT(ISNUMBER(G25))),"",MAX(0,MIN(INT(MAX(0,G25)),B25-C25-D25-E25)))</x:f>
      </x:c>
      <x:c r="I25" s="13"/>
      <x:c r="J25" s="14"/>
      <x:c r="K25" s="14"/>
      <x:c r="L25" s="15" t="str">
        <x:f>IF(OR(COUNT(I25:J25)&lt;2,NOT(ISNUMBER(H25)),I25&gt;H25),"",I25*J25)</x:f>
      </x:c>
      <x:c r="M25" s="15" t="str">
        <x:f>IF(OR(COUNT(I25:K25)&lt;3,NOT(ISNUMBER(H25)),I25&gt;H25),"",I25*(J25-K25))</x:f>
      </x:c>
      <x:c r="N25" s="2" t="str">
        <x:f>IF(NOT(ISNUMBER(I25)),"",IF(NOT(ISNUMBER(H25)),"缺岗位上限",IF(I25&gt;H25,"超出上限",IF(AND(I25&gt;0,NOT(ISNUMBER(J25))),"缺工资成本",IF(AND(I25&gt;0,NOT(ISNUMBER(K25))),"缺过渡成本","已核对")))))</x:f>
      </x:c>
    </x:row>
    <x:row r="26">
      <x:c r="A26" s="9"/>
      <x:c r="B26" s="9"/>
      <x:c r="C26" s="9"/>
      <x:c r="D26" s="9"/>
      <x:c r="E26" s="9"/>
      <x:c r="F26" s="10" t="str">
        <x:f>IF(A26="","",IF(COUNTIFS('任务基线'!$A$6:$A$105,A26,'任务基线'!$C$6:$C$105,"&gt;0")=0,"",SUMIFS('任务基线'!$F$6:$F$105,'任务基线'!$A$6:$A$105,A26)))</x:f>
      </x:c>
      <x:c r="G26" s="10" t="str">
        <x:f>IF(OR(F26="",'总览'!$B$6=""),"",F26/'总览'!$B$6)</x:f>
      </x:c>
      <x:c r="H26" s="12" t="str">
        <x:f>IF(OR(COUNT(B26:E26)&lt;4,NOT(ISNUMBER(G26))),"",MAX(0,MIN(INT(MAX(0,G26)),B26-C26-D26-E26)))</x:f>
      </x:c>
      <x:c r="I26" s="13"/>
      <x:c r="J26" s="14"/>
      <x:c r="K26" s="14"/>
      <x:c r="L26" s="15" t="str">
        <x:f>IF(OR(COUNT(I26:J26)&lt;2,NOT(ISNUMBER(H26)),I26&gt;H26),"",I26*J26)</x:f>
      </x:c>
      <x:c r="M26" s="15" t="str">
        <x:f>IF(OR(COUNT(I26:K26)&lt;3,NOT(ISNUMBER(H26)),I26&gt;H26),"",I26*(J26-K26))</x:f>
      </x:c>
      <x:c r="N26" s="2" t="str">
        <x:f>IF(NOT(ISNUMBER(I26)),"",IF(NOT(ISNUMBER(H26)),"缺岗位上限",IF(I26&gt;H26,"超出上限",IF(AND(I26&gt;0,NOT(ISNUMBER(J26))),"缺工资成本",IF(AND(I26&gt;0,NOT(ISNUMBER(K26))),"缺过渡成本","已核对")))))</x:f>
      </x:c>
    </x:row>
    <x:row r="27">
      <x:c r="A27" s="9"/>
      <x:c r="B27" s="9"/>
      <x:c r="C27" s="9"/>
      <x:c r="D27" s="9"/>
      <x:c r="E27" s="9"/>
      <x:c r="F27" s="10" t="str">
        <x:f>IF(A27="","",IF(COUNTIFS('任务基线'!$A$6:$A$105,A27,'任务基线'!$C$6:$C$105,"&gt;0")=0,"",SUMIFS('任务基线'!$F$6:$F$105,'任务基线'!$A$6:$A$105,A27)))</x:f>
      </x:c>
      <x:c r="G27" s="10" t="str">
        <x:f>IF(OR(F27="",'总览'!$B$6=""),"",F27/'总览'!$B$6)</x:f>
      </x:c>
      <x:c r="H27" s="12" t="str">
        <x:f>IF(OR(COUNT(B27:E27)&lt;4,NOT(ISNUMBER(G27))),"",MAX(0,MIN(INT(MAX(0,G27)),B27-C27-D27-E27)))</x:f>
      </x:c>
      <x:c r="I27" s="13"/>
      <x:c r="J27" s="14"/>
      <x:c r="K27" s="14"/>
      <x:c r="L27" s="15" t="str">
        <x:f>IF(OR(COUNT(I27:J27)&lt;2,NOT(ISNUMBER(H27)),I27&gt;H27),"",I27*J27)</x:f>
      </x:c>
      <x:c r="M27" s="15" t="str">
        <x:f>IF(OR(COUNT(I27:K27)&lt;3,NOT(ISNUMBER(H27)),I27&gt;H27),"",I27*(J27-K27))</x:f>
      </x:c>
      <x:c r="N27" s="2" t="str">
        <x:f>IF(NOT(ISNUMBER(I27)),"",IF(NOT(ISNUMBER(H27)),"缺岗位上限",IF(I27&gt;H27,"超出上限",IF(AND(I27&gt;0,NOT(ISNUMBER(J27))),"缺工资成本",IF(AND(I27&gt;0,NOT(ISNUMBER(K27))),"缺过渡成本","已核对")))))</x:f>
      </x:c>
    </x:row>
    <x:row r="28">
      <x:c r="A28" s="9"/>
      <x:c r="B28" s="9"/>
      <x:c r="C28" s="9"/>
      <x:c r="D28" s="9"/>
      <x:c r="E28" s="9"/>
      <x:c r="F28" s="10" t="str">
        <x:f>IF(A28="","",IF(COUNTIFS('任务基线'!$A$6:$A$105,A28,'任务基线'!$C$6:$C$105,"&gt;0")=0,"",SUMIFS('任务基线'!$F$6:$F$105,'任务基线'!$A$6:$A$105,A28)))</x:f>
      </x:c>
      <x:c r="G28" s="10" t="str">
        <x:f>IF(OR(F28="",'总览'!$B$6=""),"",F28/'总览'!$B$6)</x:f>
      </x:c>
      <x:c r="H28" s="12" t="str">
        <x:f>IF(OR(COUNT(B28:E28)&lt;4,NOT(ISNUMBER(G28))),"",MAX(0,MIN(INT(MAX(0,G28)),B28-C28-D28-E28)))</x:f>
      </x:c>
      <x:c r="I28" s="13"/>
      <x:c r="J28" s="14"/>
      <x:c r="K28" s="14"/>
      <x:c r="L28" s="15" t="str">
        <x:f>IF(OR(COUNT(I28:J28)&lt;2,NOT(ISNUMBER(H28)),I28&gt;H28),"",I28*J28)</x:f>
      </x:c>
      <x:c r="M28" s="15" t="str">
        <x:f>IF(OR(COUNT(I28:K28)&lt;3,NOT(ISNUMBER(H28)),I28&gt;H28),"",I28*(J28-K28))</x:f>
      </x:c>
      <x:c r="N28" s="2" t="str">
        <x:f>IF(NOT(ISNUMBER(I28)),"",IF(NOT(ISNUMBER(H28)),"缺岗位上限",IF(I28&gt;H28,"超出上限",IF(AND(I28&gt;0,NOT(ISNUMBER(J28))),"缺工资成本",IF(AND(I28&gt;0,NOT(ISNUMBER(K28))),"缺过渡成本","已核对")))))</x:f>
      </x:c>
    </x:row>
    <x:row r="29">
      <x:c r="A29" s="9"/>
      <x:c r="B29" s="9"/>
      <x:c r="C29" s="9"/>
      <x:c r="D29" s="9"/>
      <x:c r="E29" s="9"/>
      <x:c r="F29" s="10" t="str">
        <x:f>IF(A29="","",IF(COUNTIFS('任务基线'!$A$6:$A$105,A29,'任务基线'!$C$6:$C$105,"&gt;0")=0,"",SUMIFS('任务基线'!$F$6:$F$105,'任务基线'!$A$6:$A$105,A29)))</x:f>
      </x:c>
      <x:c r="G29" s="10" t="str">
        <x:f>IF(OR(F29="",'总览'!$B$6=""),"",F29/'总览'!$B$6)</x:f>
      </x:c>
      <x:c r="H29" s="12" t="str">
        <x:f>IF(OR(COUNT(B29:E29)&lt;4,NOT(ISNUMBER(G29))),"",MAX(0,MIN(INT(MAX(0,G29)),B29-C29-D29-E29)))</x:f>
      </x:c>
      <x:c r="I29" s="13"/>
      <x:c r="J29" s="14"/>
      <x:c r="K29" s="14"/>
      <x:c r="L29" s="15" t="str">
        <x:f>IF(OR(COUNT(I29:J29)&lt;2,NOT(ISNUMBER(H29)),I29&gt;H29),"",I29*J29)</x:f>
      </x:c>
      <x:c r="M29" s="15" t="str">
        <x:f>IF(OR(COUNT(I29:K29)&lt;3,NOT(ISNUMBER(H29)),I29&gt;H29),"",I29*(J29-K29))</x:f>
      </x:c>
      <x:c r="N29" s="2" t="str">
        <x:f>IF(NOT(ISNUMBER(I29)),"",IF(NOT(ISNUMBER(H29)),"缺岗位上限",IF(I29&gt;H29,"超出上限",IF(AND(I29&gt;0,NOT(ISNUMBER(J29))),"缺工资成本",IF(AND(I29&gt;0,NOT(ISNUMBER(K29))),"缺过渡成本","已核对")))))</x:f>
      </x:c>
    </x:row>
    <x:row r="30">
      <x:c r="A30" s="9"/>
      <x:c r="B30" s="9"/>
      <x:c r="C30" s="9"/>
      <x:c r="D30" s="9"/>
      <x:c r="E30" s="9"/>
      <x:c r="F30" s="10" t="str">
        <x:f>IF(A30="","",IF(COUNTIFS('任务基线'!$A$6:$A$105,A30,'任务基线'!$C$6:$C$105,"&gt;0")=0,"",SUMIFS('任务基线'!$F$6:$F$105,'任务基线'!$A$6:$A$105,A30)))</x:f>
      </x:c>
      <x:c r="G30" s="10" t="str">
        <x:f>IF(OR(F30="",'总览'!$B$6=""),"",F30/'总览'!$B$6)</x:f>
      </x:c>
      <x:c r="H30" s="12" t="str">
        <x:f>IF(OR(COUNT(B30:E30)&lt;4,NOT(ISNUMBER(G30))),"",MAX(0,MIN(INT(MAX(0,G30)),B30-C30-D30-E30)))</x:f>
      </x:c>
      <x:c r="I30" s="13"/>
      <x:c r="J30" s="14"/>
      <x:c r="K30" s="14"/>
      <x:c r="L30" s="15" t="str">
        <x:f>IF(OR(COUNT(I30:J30)&lt;2,NOT(ISNUMBER(H30)),I30&gt;H30),"",I30*J30)</x:f>
      </x:c>
      <x:c r="M30" s="15" t="str">
        <x:f>IF(OR(COUNT(I30:K30)&lt;3,NOT(ISNUMBER(H30)),I30&gt;H30),"",I30*(J30-K30))</x:f>
      </x:c>
      <x:c r="N30" s="2" t="str">
        <x:f>IF(NOT(ISNUMBER(I30)),"",IF(NOT(ISNUMBER(H30)),"缺岗位上限",IF(I30&gt;H30,"超出上限",IF(AND(I30&gt;0,NOT(ISNUMBER(J30))),"缺工资成本",IF(AND(I30&gt;0,NOT(ISNUMBER(K30))),"缺过渡成本","已核对")))))</x:f>
      </x:c>
    </x:row>
    <x:row r="31">
      <x:c r="A31" s="9"/>
      <x:c r="B31" s="9"/>
      <x:c r="C31" s="9"/>
      <x:c r="D31" s="9"/>
      <x:c r="E31" s="9"/>
      <x:c r="F31" s="10" t="str">
        <x:f>IF(A31="","",IF(COUNTIFS('任务基线'!$A$6:$A$105,A31,'任务基线'!$C$6:$C$105,"&gt;0")=0,"",SUMIFS('任务基线'!$F$6:$F$105,'任务基线'!$A$6:$A$105,A31)))</x:f>
      </x:c>
      <x:c r="G31" s="10" t="str">
        <x:f>IF(OR(F31="",'总览'!$B$6=""),"",F31/'总览'!$B$6)</x:f>
      </x:c>
      <x:c r="H31" s="12" t="str">
        <x:f>IF(OR(COUNT(B31:E31)&lt;4,NOT(ISNUMBER(G31))),"",MAX(0,MIN(INT(MAX(0,G31)),B31-C31-D31-E31)))</x:f>
      </x:c>
      <x:c r="I31" s="13"/>
      <x:c r="J31" s="14"/>
      <x:c r="K31" s="14"/>
      <x:c r="L31" s="15" t="str">
        <x:f>IF(OR(COUNT(I31:J31)&lt;2,NOT(ISNUMBER(H31)),I31&gt;H31),"",I31*J31)</x:f>
      </x:c>
      <x:c r="M31" s="15" t="str">
        <x:f>IF(OR(COUNT(I31:K31)&lt;3,NOT(ISNUMBER(H31)),I31&gt;H31),"",I31*(J31-K31))</x:f>
      </x:c>
      <x:c r="N31" s="2" t="str">
        <x:f>IF(NOT(ISNUMBER(I31)),"",IF(NOT(ISNUMBER(H31)),"缺岗位上限",IF(I31&gt;H31,"超出上限",IF(AND(I31&gt;0,NOT(ISNUMBER(J31))),"缺工资成本",IF(AND(I31&gt;0,NOT(ISNUMBER(K31))),"缺过渡成本","已核对")))))</x:f>
      </x:c>
    </x:row>
    <x:row r="32">
      <x:c r="A32" s="9"/>
      <x:c r="B32" s="9"/>
      <x:c r="C32" s="9"/>
      <x:c r="D32" s="9"/>
      <x:c r="E32" s="9"/>
      <x:c r="F32" s="10" t="str">
        <x:f>IF(A32="","",IF(COUNTIFS('任务基线'!$A$6:$A$105,A32,'任务基线'!$C$6:$C$105,"&gt;0")=0,"",SUMIFS('任务基线'!$F$6:$F$105,'任务基线'!$A$6:$A$105,A32)))</x:f>
      </x:c>
      <x:c r="G32" s="10" t="str">
        <x:f>IF(OR(F32="",'总览'!$B$6=""),"",F32/'总览'!$B$6)</x:f>
      </x:c>
      <x:c r="H32" s="12" t="str">
        <x:f>IF(OR(COUNT(B32:E32)&lt;4,NOT(ISNUMBER(G32))),"",MAX(0,MIN(INT(MAX(0,G32)),B32-C32-D32-E32)))</x:f>
      </x:c>
      <x:c r="I32" s="13"/>
      <x:c r="J32" s="14"/>
      <x:c r="K32" s="14"/>
      <x:c r="L32" s="15" t="str">
        <x:f>IF(OR(COUNT(I32:J32)&lt;2,NOT(ISNUMBER(H32)),I32&gt;H32),"",I32*J32)</x:f>
      </x:c>
      <x:c r="M32" s="15" t="str">
        <x:f>IF(OR(COUNT(I32:K32)&lt;3,NOT(ISNUMBER(H32)),I32&gt;H32),"",I32*(J32-K32))</x:f>
      </x:c>
      <x:c r="N32" s="2" t="str">
        <x:f>IF(NOT(ISNUMBER(I32)),"",IF(NOT(ISNUMBER(H32)),"缺岗位上限",IF(I32&gt;H32,"超出上限",IF(AND(I32&gt;0,NOT(ISNUMBER(J32))),"缺工资成本",IF(AND(I32&gt;0,NOT(ISNUMBER(K32))),"缺过渡成本","已核对")))))</x:f>
      </x:c>
    </x:row>
    <x:row r="33">
      <x:c r="A33" s="9"/>
      <x:c r="B33" s="9"/>
      <x:c r="C33" s="9"/>
      <x:c r="D33" s="9"/>
      <x:c r="E33" s="9"/>
      <x:c r="F33" s="10" t="str">
        <x:f>IF(A33="","",IF(COUNTIFS('任务基线'!$A$6:$A$105,A33,'任务基线'!$C$6:$C$105,"&gt;0")=0,"",SUMIFS('任务基线'!$F$6:$F$105,'任务基线'!$A$6:$A$105,A33)))</x:f>
      </x:c>
      <x:c r="G33" s="10" t="str">
        <x:f>IF(OR(F33="",'总览'!$B$6=""),"",F33/'总览'!$B$6)</x:f>
      </x:c>
      <x:c r="H33" s="12" t="str">
        <x:f>IF(OR(COUNT(B33:E33)&lt;4,NOT(ISNUMBER(G33))),"",MAX(0,MIN(INT(MAX(0,G33)),B33-C33-D33-E33)))</x:f>
      </x:c>
      <x:c r="I33" s="13"/>
      <x:c r="J33" s="14"/>
      <x:c r="K33" s="14"/>
      <x:c r="L33" s="15" t="str">
        <x:f>IF(OR(COUNT(I33:J33)&lt;2,NOT(ISNUMBER(H33)),I33&gt;H33),"",I33*J33)</x:f>
      </x:c>
      <x:c r="M33" s="15" t="str">
        <x:f>IF(OR(COUNT(I33:K33)&lt;3,NOT(ISNUMBER(H33)),I33&gt;H33),"",I33*(J33-K33))</x:f>
      </x:c>
      <x:c r="N33" s="2" t="str">
        <x:f>IF(NOT(ISNUMBER(I33)),"",IF(NOT(ISNUMBER(H33)),"缺岗位上限",IF(I33&gt;H33,"超出上限",IF(AND(I33&gt;0,NOT(ISNUMBER(J33))),"缺工资成本",IF(AND(I33&gt;0,NOT(ISNUMBER(K33))),"缺过渡成本","已核对")))))</x:f>
      </x:c>
    </x:row>
    <x:row r="34">
      <x:c r="A34" s="9"/>
      <x:c r="B34" s="9"/>
      <x:c r="C34" s="9"/>
      <x:c r="D34" s="9"/>
      <x:c r="E34" s="9"/>
      <x:c r="F34" s="10" t="str">
        <x:f>IF(A34="","",IF(COUNTIFS('任务基线'!$A$6:$A$105,A34,'任务基线'!$C$6:$C$105,"&gt;0")=0,"",SUMIFS('任务基线'!$F$6:$F$105,'任务基线'!$A$6:$A$105,A34)))</x:f>
      </x:c>
      <x:c r="G34" s="10" t="str">
        <x:f>IF(OR(F34="",'总览'!$B$6=""),"",F34/'总览'!$B$6)</x:f>
      </x:c>
      <x:c r="H34" s="12" t="str">
        <x:f>IF(OR(COUNT(B34:E34)&lt;4,NOT(ISNUMBER(G34))),"",MAX(0,MIN(INT(MAX(0,G34)),B34-C34-D34-E34)))</x:f>
      </x:c>
      <x:c r="I34" s="13"/>
      <x:c r="J34" s="14"/>
      <x:c r="K34" s="14"/>
      <x:c r="L34" s="15" t="str">
        <x:f>IF(OR(COUNT(I34:J34)&lt;2,NOT(ISNUMBER(H34)),I34&gt;H34),"",I34*J34)</x:f>
      </x:c>
      <x:c r="M34" s="15" t="str">
        <x:f>IF(OR(COUNT(I34:K34)&lt;3,NOT(ISNUMBER(H34)),I34&gt;H34),"",I34*(J34-K34))</x:f>
      </x:c>
      <x:c r="N34" s="2" t="str">
        <x:f>IF(NOT(ISNUMBER(I34)),"",IF(NOT(ISNUMBER(H34)),"缺岗位上限",IF(I34&gt;H34,"超出上限",IF(AND(I34&gt;0,NOT(ISNUMBER(J34))),"缺工资成本",IF(AND(I34&gt;0,NOT(ISNUMBER(K34))),"缺过渡成本","已核对")))))</x:f>
      </x:c>
    </x:row>
    <x:row r="35">
      <x:c r="A35" s="9"/>
      <x:c r="B35" s="9"/>
      <x:c r="C35" s="9"/>
      <x:c r="D35" s="9"/>
      <x:c r="E35" s="9"/>
      <x:c r="F35" s="10" t="str">
        <x:f>IF(A35="","",IF(COUNTIFS('任务基线'!$A$6:$A$105,A35,'任务基线'!$C$6:$C$105,"&gt;0")=0,"",SUMIFS('任务基线'!$F$6:$F$105,'任务基线'!$A$6:$A$105,A35)))</x:f>
      </x:c>
      <x:c r="G35" s="10" t="str">
        <x:f>IF(OR(F35="",'总览'!$B$6=""),"",F35/'总览'!$B$6)</x:f>
      </x:c>
      <x:c r="H35" s="12" t="str">
        <x:f>IF(OR(COUNT(B35:E35)&lt;4,NOT(ISNUMBER(G35))),"",MAX(0,MIN(INT(MAX(0,G35)),B35-C35-D35-E35)))</x:f>
      </x:c>
      <x:c r="I35" s="13"/>
      <x:c r="J35" s="14"/>
      <x:c r="K35" s="14"/>
      <x:c r="L35" s="15" t="str">
        <x:f>IF(OR(COUNT(I35:J35)&lt;2,NOT(ISNUMBER(H35)),I35&gt;H35),"",I35*J35)</x:f>
      </x:c>
      <x:c r="M35" s="15" t="str">
        <x:f>IF(OR(COUNT(I35:K35)&lt;3,NOT(ISNUMBER(H35)),I35&gt;H35),"",I35*(J35-K35))</x:f>
      </x:c>
      <x:c r="N35" s="2" t="str">
        <x:f>IF(NOT(ISNUMBER(I35)),"",IF(NOT(ISNUMBER(H35)),"缺岗位上限",IF(I35&gt;H35,"超出上限",IF(AND(I35&gt;0,NOT(ISNUMBER(J35))),"缺工资成本",IF(AND(I35&gt;0,NOT(ISNUMBER(K35))),"缺过渡成本","已核对")))))</x:f>
      </x:c>
    </x:row>
    <x:row r="36">
      <x:c r="A36" s="9"/>
      <x:c r="B36" s="9"/>
      <x:c r="C36" s="9"/>
      <x:c r="D36" s="9"/>
      <x:c r="E36" s="9"/>
      <x:c r="F36" s="10" t="str">
        <x:f>IF(A36="","",IF(COUNTIFS('任务基线'!$A$6:$A$105,A36,'任务基线'!$C$6:$C$105,"&gt;0")=0,"",SUMIFS('任务基线'!$F$6:$F$105,'任务基线'!$A$6:$A$105,A36)))</x:f>
      </x:c>
      <x:c r="G36" s="10" t="str">
        <x:f>IF(OR(F36="",'总览'!$B$6=""),"",F36/'总览'!$B$6)</x:f>
      </x:c>
      <x:c r="H36" s="12" t="str">
        <x:f>IF(OR(COUNT(B36:E36)&lt;4,NOT(ISNUMBER(G36))),"",MAX(0,MIN(INT(MAX(0,G36)),B36-C36-D36-E36)))</x:f>
      </x:c>
      <x:c r="I36" s="13"/>
      <x:c r="J36" s="14"/>
      <x:c r="K36" s="14"/>
      <x:c r="L36" s="15" t="str">
        <x:f>IF(OR(COUNT(I36:J36)&lt;2,NOT(ISNUMBER(H36)),I36&gt;H36),"",I36*J36)</x:f>
      </x:c>
      <x:c r="M36" s="15" t="str">
        <x:f>IF(OR(COUNT(I36:K36)&lt;3,NOT(ISNUMBER(H36)),I36&gt;H36),"",I36*(J36-K36))</x:f>
      </x:c>
      <x:c r="N36" s="2" t="str">
        <x:f>IF(NOT(ISNUMBER(I36)),"",IF(NOT(ISNUMBER(H36)),"缺岗位上限",IF(I36&gt;H36,"超出上限",IF(AND(I36&gt;0,NOT(ISNUMBER(J36))),"缺工资成本",IF(AND(I36&gt;0,NOT(ISNUMBER(K36))),"缺过渡成本","已核对")))))</x:f>
      </x:c>
    </x:row>
    <x:row r="37">
      <x:c r="A37" s="9"/>
      <x:c r="B37" s="9"/>
      <x:c r="C37" s="9"/>
      <x:c r="D37" s="9"/>
      <x:c r="E37" s="9"/>
      <x:c r="F37" s="10" t="str">
        <x:f>IF(A37="","",IF(COUNTIFS('任务基线'!$A$6:$A$105,A37,'任务基线'!$C$6:$C$105,"&gt;0")=0,"",SUMIFS('任务基线'!$F$6:$F$105,'任务基线'!$A$6:$A$105,A37)))</x:f>
      </x:c>
      <x:c r="G37" s="10" t="str">
        <x:f>IF(OR(F37="",'总览'!$B$6=""),"",F37/'总览'!$B$6)</x:f>
      </x:c>
      <x:c r="H37" s="12" t="str">
        <x:f>IF(OR(COUNT(B37:E37)&lt;4,NOT(ISNUMBER(G37))),"",MAX(0,MIN(INT(MAX(0,G37)),B37-C37-D37-E37)))</x:f>
      </x:c>
      <x:c r="I37" s="13"/>
      <x:c r="J37" s="14"/>
      <x:c r="K37" s="14"/>
      <x:c r="L37" s="15" t="str">
        <x:f>IF(OR(COUNT(I37:J37)&lt;2,NOT(ISNUMBER(H37)),I37&gt;H37),"",I37*J37)</x:f>
      </x:c>
      <x:c r="M37" s="15" t="str">
        <x:f>IF(OR(COUNT(I37:K37)&lt;3,NOT(ISNUMBER(H37)),I37&gt;H37),"",I37*(J37-K37))</x:f>
      </x:c>
      <x:c r="N37" s="2" t="str">
        <x:f>IF(NOT(ISNUMBER(I37)),"",IF(NOT(ISNUMBER(H37)),"缺岗位上限",IF(I37&gt;H37,"超出上限",IF(AND(I37&gt;0,NOT(ISNUMBER(J37))),"缺工资成本",IF(AND(I37&gt;0,NOT(ISNUMBER(K37))),"缺过渡成本","已核对")))))</x:f>
      </x:c>
    </x:row>
    <x:row r="38">
      <x:c r="A38" s="9"/>
      <x:c r="B38" s="9"/>
      <x:c r="C38" s="9"/>
      <x:c r="D38" s="9"/>
      <x:c r="E38" s="9"/>
      <x:c r="F38" s="10" t="str">
        <x:f>IF(A38="","",IF(COUNTIFS('任务基线'!$A$6:$A$105,A38,'任务基线'!$C$6:$C$105,"&gt;0")=0,"",SUMIFS('任务基线'!$F$6:$F$105,'任务基线'!$A$6:$A$105,A38)))</x:f>
      </x:c>
      <x:c r="G38" s="10" t="str">
        <x:f>IF(OR(F38="",'总览'!$B$6=""),"",F38/'总览'!$B$6)</x:f>
      </x:c>
      <x:c r="H38" s="12" t="str">
        <x:f>IF(OR(COUNT(B38:E38)&lt;4,NOT(ISNUMBER(G38))),"",MAX(0,MIN(INT(MAX(0,G38)),B38-C38-D38-E38)))</x:f>
      </x:c>
      <x:c r="I38" s="13"/>
      <x:c r="J38" s="14"/>
      <x:c r="K38" s="14"/>
      <x:c r="L38" s="15" t="str">
        <x:f>IF(OR(COUNT(I38:J38)&lt;2,NOT(ISNUMBER(H38)),I38&gt;H38),"",I38*J38)</x:f>
      </x:c>
      <x:c r="M38" s="15" t="str">
        <x:f>IF(OR(COUNT(I38:K38)&lt;3,NOT(ISNUMBER(H38)),I38&gt;H38),"",I38*(J38-K38))</x:f>
      </x:c>
      <x:c r="N38" s="2" t="str">
        <x:f>IF(NOT(ISNUMBER(I38)),"",IF(NOT(ISNUMBER(H38)),"缺岗位上限",IF(I38&gt;H38,"超出上限",IF(AND(I38&gt;0,NOT(ISNUMBER(J38))),"缺工资成本",IF(AND(I38&gt;0,NOT(ISNUMBER(K38))),"缺过渡成本","已核对")))))</x:f>
      </x:c>
    </x:row>
    <x:row r="39">
      <x:c r="A39" s="9"/>
      <x:c r="B39" s="9"/>
      <x:c r="C39" s="9"/>
      <x:c r="D39" s="9"/>
      <x:c r="E39" s="9"/>
      <x:c r="F39" s="10" t="str">
        <x:f>IF(A39="","",IF(COUNTIFS('任务基线'!$A$6:$A$105,A39,'任务基线'!$C$6:$C$105,"&gt;0")=0,"",SUMIFS('任务基线'!$F$6:$F$105,'任务基线'!$A$6:$A$105,A39)))</x:f>
      </x:c>
      <x:c r="G39" s="10" t="str">
        <x:f>IF(OR(F39="",'总览'!$B$6=""),"",F39/'总览'!$B$6)</x:f>
      </x:c>
      <x:c r="H39" s="12" t="str">
        <x:f>IF(OR(COUNT(B39:E39)&lt;4,NOT(ISNUMBER(G39))),"",MAX(0,MIN(INT(MAX(0,G39)),B39-C39-D39-E39)))</x:f>
      </x:c>
      <x:c r="I39" s="13"/>
      <x:c r="J39" s="14"/>
      <x:c r="K39" s="14"/>
      <x:c r="L39" s="15" t="str">
        <x:f>IF(OR(COUNT(I39:J39)&lt;2,NOT(ISNUMBER(H39)),I39&gt;H39),"",I39*J39)</x:f>
      </x:c>
      <x:c r="M39" s="15" t="str">
        <x:f>IF(OR(COUNT(I39:K39)&lt;3,NOT(ISNUMBER(H39)),I39&gt;H39),"",I39*(J39-K39))</x:f>
      </x:c>
      <x:c r="N39" s="2" t="str">
        <x:f>IF(NOT(ISNUMBER(I39)),"",IF(NOT(ISNUMBER(H39)),"缺岗位上限",IF(I39&gt;H39,"超出上限",IF(AND(I39&gt;0,NOT(ISNUMBER(J39))),"缺工资成本",IF(AND(I39&gt;0,NOT(ISNUMBER(K39))),"缺过渡成本","已核对")))))</x:f>
      </x:c>
    </x:row>
    <x:row r="40">
      <x:c r="A40" s="9"/>
      <x:c r="B40" s="9"/>
      <x:c r="C40" s="9"/>
      <x:c r="D40" s="9"/>
      <x:c r="E40" s="9"/>
      <x:c r="F40" s="10" t="str">
        <x:f>IF(A40="","",IF(COUNTIFS('任务基线'!$A$6:$A$105,A40,'任务基线'!$C$6:$C$105,"&gt;0")=0,"",SUMIFS('任务基线'!$F$6:$F$105,'任务基线'!$A$6:$A$105,A40)))</x:f>
      </x:c>
      <x:c r="G40" s="10" t="str">
        <x:f>IF(OR(F40="",'总览'!$B$6=""),"",F40/'总览'!$B$6)</x:f>
      </x:c>
      <x:c r="H40" s="12" t="str">
        <x:f>IF(OR(COUNT(B40:E40)&lt;4,NOT(ISNUMBER(G40))),"",MAX(0,MIN(INT(MAX(0,G40)),B40-C40-D40-E40)))</x:f>
      </x:c>
      <x:c r="I40" s="13"/>
      <x:c r="J40" s="14"/>
      <x:c r="K40" s="14"/>
      <x:c r="L40" s="15" t="str">
        <x:f>IF(OR(COUNT(I40:J40)&lt;2,NOT(ISNUMBER(H40)),I40&gt;H40),"",I40*J40)</x:f>
      </x:c>
      <x:c r="M40" s="15" t="str">
        <x:f>IF(OR(COUNT(I40:K40)&lt;3,NOT(ISNUMBER(H40)),I40&gt;H40),"",I40*(J40-K40))</x:f>
      </x:c>
      <x:c r="N40" s="2" t="str">
        <x:f>IF(NOT(ISNUMBER(I40)),"",IF(NOT(ISNUMBER(H40)),"缺岗位上限",IF(I40&gt;H40,"超出上限",IF(AND(I40&gt;0,NOT(ISNUMBER(J40))),"缺工资成本",IF(AND(I40&gt;0,NOT(ISNUMBER(K40))),"缺过渡成本","已核对")))))</x:f>
      </x:c>
    </x:row>
    <x:row r="41">
      <x:c r="A41" s="9"/>
      <x:c r="B41" s="9"/>
      <x:c r="C41" s="9"/>
      <x:c r="D41" s="9"/>
      <x:c r="E41" s="9"/>
      <x:c r="F41" s="10" t="str">
        <x:f>IF(A41="","",IF(COUNTIFS('任务基线'!$A$6:$A$105,A41,'任务基线'!$C$6:$C$105,"&gt;0")=0,"",SUMIFS('任务基线'!$F$6:$F$105,'任务基线'!$A$6:$A$105,A41)))</x:f>
      </x:c>
      <x:c r="G41" s="10" t="str">
        <x:f>IF(OR(F41="",'总览'!$B$6=""),"",F41/'总览'!$B$6)</x:f>
      </x:c>
      <x:c r="H41" s="12" t="str">
        <x:f>IF(OR(COUNT(B41:E41)&lt;4,NOT(ISNUMBER(G41))),"",MAX(0,MIN(INT(MAX(0,G41)),B41-C41-D41-E41)))</x:f>
      </x:c>
      <x:c r="I41" s="13"/>
      <x:c r="J41" s="14"/>
      <x:c r="K41" s="14"/>
      <x:c r="L41" s="15" t="str">
        <x:f>IF(OR(COUNT(I41:J41)&lt;2,NOT(ISNUMBER(H41)),I41&gt;H41),"",I41*J41)</x:f>
      </x:c>
      <x:c r="M41" s="15" t="str">
        <x:f>IF(OR(COUNT(I41:K41)&lt;3,NOT(ISNUMBER(H41)),I41&gt;H41),"",I41*(J41-K41))</x:f>
      </x:c>
      <x:c r="N41" s="2" t="str">
        <x:f>IF(NOT(ISNUMBER(I41)),"",IF(NOT(ISNUMBER(H41)),"缺岗位上限",IF(I41&gt;H41,"超出上限",IF(AND(I41&gt;0,NOT(ISNUMBER(J41))),"缺工资成本",IF(AND(I41&gt;0,NOT(ISNUMBER(K41))),"缺过渡成本","已核对")))))</x:f>
      </x:c>
    </x:row>
    <x:row r="42">
      <x:c r="A42" s="9"/>
      <x:c r="B42" s="9"/>
      <x:c r="C42" s="9"/>
      <x:c r="D42" s="9"/>
      <x:c r="E42" s="9"/>
      <x:c r="F42" s="10" t="str">
        <x:f>IF(A42="","",IF(COUNTIFS('任务基线'!$A$6:$A$105,A42,'任务基线'!$C$6:$C$105,"&gt;0")=0,"",SUMIFS('任务基线'!$F$6:$F$105,'任务基线'!$A$6:$A$105,A42)))</x:f>
      </x:c>
      <x:c r="G42" s="10" t="str">
        <x:f>IF(OR(F42="",'总览'!$B$6=""),"",F42/'总览'!$B$6)</x:f>
      </x:c>
      <x:c r="H42" s="12" t="str">
        <x:f>IF(OR(COUNT(B42:E42)&lt;4,NOT(ISNUMBER(G42))),"",MAX(0,MIN(INT(MAX(0,G42)),B42-C42-D42-E42)))</x:f>
      </x:c>
      <x:c r="I42" s="13"/>
      <x:c r="J42" s="14"/>
      <x:c r="K42" s="14"/>
      <x:c r="L42" s="15" t="str">
        <x:f>IF(OR(COUNT(I42:J42)&lt;2,NOT(ISNUMBER(H42)),I42&gt;H42),"",I42*J42)</x:f>
      </x:c>
      <x:c r="M42" s="15" t="str">
        <x:f>IF(OR(COUNT(I42:K42)&lt;3,NOT(ISNUMBER(H42)),I42&gt;H42),"",I42*(J42-K42))</x:f>
      </x:c>
      <x:c r="N42" s="2" t="str">
        <x:f>IF(NOT(ISNUMBER(I42)),"",IF(NOT(ISNUMBER(H42)),"缺岗位上限",IF(I42&gt;H42,"超出上限",IF(AND(I42&gt;0,NOT(ISNUMBER(J42))),"缺工资成本",IF(AND(I42&gt;0,NOT(ISNUMBER(K42))),"缺过渡成本","已核对")))))</x:f>
      </x:c>
    </x:row>
    <x:row r="43">
      <x:c r="A43" s="9"/>
      <x:c r="B43" s="9"/>
      <x:c r="C43" s="9"/>
      <x:c r="D43" s="9"/>
      <x:c r="E43" s="9"/>
      <x:c r="F43" s="10" t="str">
        <x:f>IF(A43="","",IF(COUNTIFS('任务基线'!$A$6:$A$105,A43,'任务基线'!$C$6:$C$105,"&gt;0")=0,"",SUMIFS('任务基线'!$F$6:$F$105,'任务基线'!$A$6:$A$105,A43)))</x:f>
      </x:c>
      <x:c r="G43" s="10" t="str">
        <x:f>IF(OR(F43="",'总览'!$B$6=""),"",F43/'总览'!$B$6)</x:f>
      </x:c>
      <x:c r="H43" s="12" t="str">
        <x:f>IF(OR(COUNT(B43:E43)&lt;4,NOT(ISNUMBER(G43))),"",MAX(0,MIN(INT(MAX(0,G43)),B43-C43-D43-E43)))</x:f>
      </x:c>
      <x:c r="I43" s="13"/>
      <x:c r="J43" s="14"/>
      <x:c r="K43" s="14"/>
      <x:c r="L43" s="15" t="str">
        <x:f>IF(OR(COUNT(I43:J43)&lt;2,NOT(ISNUMBER(H43)),I43&gt;H43),"",I43*J43)</x:f>
      </x:c>
      <x:c r="M43" s="15" t="str">
        <x:f>IF(OR(COUNT(I43:K43)&lt;3,NOT(ISNUMBER(H43)),I43&gt;H43),"",I43*(J43-K43))</x:f>
      </x:c>
      <x:c r="N43" s="2" t="str">
        <x:f>IF(NOT(ISNUMBER(I43)),"",IF(NOT(ISNUMBER(H43)),"缺岗位上限",IF(I43&gt;H43,"超出上限",IF(AND(I43&gt;0,NOT(ISNUMBER(J43))),"缺工资成本",IF(AND(I43&gt;0,NOT(ISNUMBER(K43))),"缺过渡成本","已核对")))))</x:f>
      </x:c>
    </x:row>
    <x:row r="44">
      <x:c r="A44" s="9"/>
      <x:c r="B44" s="9"/>
      <x:c r="C44" s="9"/>
      <x:c r="D44" s="9"/>
      <x:c r="E44" s="9"/>
      <x:c r="F44" s="10" t="str">
        <x:f>IF(A44="","",IF(COUNTIFS('任务基线'!$A$6:$A$105,A44,'任务基线'!$C$6:$C$105,"&gt;0")=0,"",SUMIFS('任务基线'!$F$6:$F$105,'任务基线'!$A$6:$A$105,A44)))</x:f>
      </x:c>
      <x:c r="G44" s="10" t="str">
        <x:f>IF(OR(F44="",'总览'!$B$6=""),"",F44/'总览'!$B$6)</x:f>
      </x:c>
      <x:c r="H44" s="12" t="str">
        <x:f>IF(OR(COUNT(B44:E44)&lt;4,NOT(ISNUMBER(G44))),"",MAX(0,MIN(INT(MAX(0,G44)),B44-C44-D44-E44)))</x:f>
      </x:c>
      <x:c r="I44" s="13"/>
      <x:c r="J44" s="14"/>
      <x:c r="K44" s="14"/>
      <x:c r="L44" s="15" t="str">
        <x:f>IF(OR(COUNT(I44:J44)&lt;2,NOT(ISNUMBER(H44)),I44&gt;H44),"",I44*J44)</x:f>
      </x:c>
      <x:c r="M44" s="15" t="str">
        <x:f>IF(OR(COUNT(I44:K44)&lt;3,NOT(ISNUMBER(H44)),I44&gt;H44),"",I44*(J44-K44))</x:f>
      </x:c>
      <x:c r="N44" s="2" t="str">
        <x:f>IF(NOT(ISNUMBER(I44)),"",IF(NOT(ISNUMBER(H44)),"缺岗位上限",IF(I44&gt;H44,"超出上限",IF(AND(I44&gt;0,NOT(ISNUMBER(J44))),"缺工资成本",IF(AND(I44&gt;0,NOT(ISNUMBER(K44))),"缺过渡成本","已核对")))))</x:f>
      </x:c>
    </x:row>
    <x:row r="45">
      <x:c r="A45" s="9"/>
      <x:c r="B45" s="9"/>
      <x:c r="C45" s="9"/>
      <x:c r="D45" s="9"/>
      <x:c r="E45" s="9"/>
      <x:c r="F45" s="10" t="str">
        <x:f>IF(A45="","",IF(COUNTIFS('任务基线'!$A$6:$A$105,A45,'任务基线'!$C$6:$C$105,"&gt;0")=0,"",SUMIFS('任务基线'!$F$6:$F$105,'任务基线'!$A$6:$A$105,A45)))</x:f>
      </x:c>
      <x:c r="G45" s="10" t="str">
        <x:f>IF(OR(F45="",'总览'!$B$6=""),"",F45/'总览'!$B$6)</x:f>
      </x:c>
      <x:c r="H45" s="12" t="str">
        <x:f>IF(OR(COUNT(B45:E45)&lt;4,NOT(ISNUMBER(G45))),"",MAX(0,MIN(INT(MAX(0,G45)),B45-C45-D45-E45)))</x:f>
      </x:c>
      <x:c r="I45" s="13"/>
      <x:c r="J45" s="14"/>
      <x:c r="K45" s="14"/>
      <x:c r="L45" s="15" t="str">
        <x:f>IF(OR(COUNT(I45:J45)&lt;2,NOT(ISNUMBER(H45)),I45&gt;H45),"",I45*J45)</x:f>
      </x:c>
      <x:c r="M45" s="15" t="str">
        <x:f>IF(OR(COUNT(I45:K45)&lt;3,NOT(ISNUMBER(H45)),I45&gt;H45),"",I45*(J45-K45))</x:f>
      </x:c>
      <x:c r="N45" s="2" t="str">
        <x:f>IF(NOT(ISNUMBER(I45)),"",IF(NOT(ISNUMBER(H45)),"缺岗位上限",IF(I45&gt;H45,"超出上限",IF(AND(I45&gt;0,NOT(ISNUMBER(J45))),"缺工资成本",IF(AND(I45&gt;0,NOT(ISNUMBER(K45))),"缺过渡成本","已核对")))))</x:f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7D4D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30" hidden="0" customWidth="1"/>
    <x:col min="3" max="3" width="19" hidden="0" customWidth="1"/>
    <x:col min="4" max="4" width="19" hidden="0" customWidth="1"/>
    <x:col min="5" max="5" width="19" hidden="0" customWidth="1"/>
    <x:col min="6" max="6" width="23" hidden="0" customWidth="1"/>
    <x:col min="8" max="8" width="62" hidden="0" customWidth="1"/>
  </x:cols>
  <x:sheetData>
    <x:row r="2">
      <x:c r="A2" s="3" t="str">
        <x:v>任务基线</x:v>
      </x:c>
      <x:c r="B2" s="3"/>
      <x:c r="C2" s="3"/>
      <x:c r="D2" s="3"/>
      <x:c r="E2" s="3"/>
      <x:c r="F2" s="3"/>
    </x:row>
    <x:row r="3">
      <x:c r="A3" s="4" t="str">
        <x:v>填写黄色单元格；以一个月为单位，录入真实交易量和 AI 试点前后每件耗时。</x:v>
      </x:c>
      <x:c r="B3" s="4"/>
      <x:c r="C3" s="4"/>
      <x:c r="D3" s="4"/>
      <x:c r="E3" s="4"/>
      <x:c r="F3" s="4"/>
    </x:row>
    <x:row r="4">
      <x:c r="A4" s="2"/>
      <x:c r="B4" s="2"/>
      <x:c r="C4" s="2"/>
      <x:c r="D4" s="2"/>
      <x:c r="E4" s="2"/>
      <x:c r="F4" s="2"/>
    </x:row>
    <x:row r="5" ht="34" customHeight="1">
      <x:c r="A5" s="8" t="str">
        <x:v>岗位分类</x:v>
      </x:c>
      <x:c r="B5" s="8" t="str">
        <x:v>任务名称</x:v>
      </x:c>
      <x:c r="C5" s="8" t="str">
        <x:v>月件数</x:v>
      </x:c>
      <x:c r="D5" s="8" t="str">
        <x:v>原每件分钟</x:v>
      </x:c>
      <x:c r="E5" s="8" t="str">
        <x:v>AI 后每件分钟</x:v>
      </x:c>
      <x:c r="F5" s="8" t="str">
        <x:v>年度净释放小时</x:v>
      </x:c>
      <x:c r="H5" s="4" t="str">
        <x:v>证据口径</x:v>
      </x:c>
    </x:row>
    <x:row r="6">
      <x:c r="A6" s="9" t="str">
        <x:v>招生顾问</x:v>
      </x:c>
      <x:c r="B6" s="9" t="str">
        <x:v>咨询答复</x:v>
      </x:c>
      <x:c r="C6" s="9"/>
      <x:c r="D6" s="9"/>
      <x:c r="E6" s="9"/>
      <x:c r="F6" s="10" t="str">
        <x:f>IF(OR(A6="",C6="",D6="",E6=""),"",C6*(D6-E6)/60*12)</x:f>
      </x:c>
      <x:c r="H6" s="4" t="str">
        <x:v>月件数来自系统导出；耗时采用现场抽样或系统日志。</x:v>
      </x:c>
    </x:row>
    <x:row r="7">
      <x:c r="A7" s="9" t="str">
        <x:v>教务</x:v>
      </x:c>
      <x:c r="B7" s="9" t="str">
        <x:v>报名材料初审</x:v>
      </x:c>
      <x:c r="C7" s="9"/>
      <x:c r="D7" s="9"/>
      <x:c r="E7" s="9"/>
      <x:c r="F7" s="10" t="str">
        <x:f>IF(OR(A7="",C7="",D7="",E7=""),"",C7*(D7-E7)/60*12)</x:f>
      </x:c>
      <x:c r="H7" s="4" t="str">
        <x:v>AI 后耗时含人工复核；增加的耗时允许为负值。</x:v>
      </x:c>
    </x:row>
    <x:row r="8">
      <x:c r="A8" s="9" t="str">
        <x:v>综合高中教师</x:v>
      </x:c>
      <x:c r="B8" s="9" t="str">
        <x:v>备课资料整理</x:v>
      </x:c>
      <x:c r="C8" s="9"/>
      <x:c r="D8" s="9"/>
      <x:c r="E8" s="9"/>
      <x:c r="F8" s="10" t="str">
        <x:f>IF(OR(A8="",C8="",D8="",E8=""),"",C8*(D8-E8)/60*12)</x:f>
      </x:c>
    </x:row>
    <x:row r="9">
      <x:c r="A9" s="9" t="str">
        <x:v>技能认定考务</x:v>
      </x:c>
      <x:c r="B9" s="9" t="str">
        <x:v>报考材料核对</x:v>
      </x:c>
      <x:c r="C9" s="9"/>
      <x:c r="D9" s="9"/>
      <x:c r="E9" s="9"/>
      <x:c r="F9" s="10" t="str">
        <x:f>IF(OR(A9="",C9="",D9="",E9=""),"",C9*(D9-E9)/60*12)</x:f>
      </x:c>
    </x:row>
    <x:row r="10">
      <x:c r="A10" s="9" t="str">
        <x:v>国际教育顾问</x:v>
      </x:c>
      <x:c r="B10" s="9" t="str">
        <x:v>申请材料核查</x:v>
      </x:c>
      <x:c r="C10" s="9"/>
      <x:c r="D10" s="9"/>
      <x:c r="E10" s="9"/>
      <x:c r="F10" s="10" t="str">
        <x:f>IF(OR(A10="",C10="",D10="",E10=""),"",C10*(D10-E10)/60*12)</x:f>
      </x:c>
    </x:row>
    <x:row r="11">
      <x:c r="A11" s="9"/>
      <x:c r="B11" s="9"/>
      <x:c r="C11" s="9"/>
      <x:c r="D11" s="9"/>
      <x:c r="E11" s="9"/>
      <x:c r="F11" s="10" t="str">
        <x:f>IF(OR(A11="",C11="",D11="",E11=""),"",C11*(D11-E11)/60*12)</x:f>
      </x:c>
    </x:row>
    <x:row r="12">
      <x:c r="A12" s="9"/>
      <x:c r="B12" s="9"/>
      <x:c r="C12" s="9"/>
      <x:c r="D12" s="9"/>
      <x:c r="E12" s="9"/>
      <x:c r="F12" s="10" t="str">
        <x:f>IF(OR(A12="",C12="",D12="",E12=""),"",C12*(D12-E12)/60*12)</x:f>
      </x:c>
    </x:row>
    <x:row r="13">
      <x:c r="A13" s="9"/>
      <x:c r="B13" s="9"/>
      <x:c r="C13" s="9"/>
      <x:c r="D13" s="9"/>
      <x:c r="E13" s="9"/>
      <x:c r="F13" s="10" t="str">
        <x:f>IF(OR(A13="",C13="",D13="",E13=""),"",C13*(D13-E13)/60*12)</x:f>
      </x:c>
    </x:row>
    <x:row r="14">
      <x:c r="A14" s="9"/>
      <x:c r="B14" s="9"/>
      <x:c r="C14" s="9"/>
      <x:c r="D14" s="9"/>
      <x:c r="E14" s="9"/>
      <x:c r="F14" s="10" t="str">
        <x:f>IF(OR(A14="",C14="",D14="",E14=""),"",C14*(D14-E14)/60*12)</x:f>
      </x:c>
    </x:row>
    <x:row r="15">
      <x:c r="A15" s="9"/>
      <x:c r="B15" s="9"/>
      <x:c r="C15" s="9"/>
      <x:c r="D15" s="9"/>
      <x:c r="E15" s="9"/>
      <x:c r="F15" s="10" t="str">
        <x:f>IF(OR(A15="",C15="",D15="",E15=""),"",C15*(D15-E15)/60*12)</x:f>
      </x:c>
    </x:row>
    <x:row r="16">
      <x:c r="A16" s="9"/>
      <x:c r="B16" s="9"/>
      <x:c r="C16" s="9"/>
      <x:c r="D16" s="9"/>
      <x:c r="E16" s="9"/>
      <x:c r="F16" s="10" t="str">
        <x:f>IF(OR(A16="",C16="",D16="",E16=""),"",C16*(D16-E16)/60*12)</x:f>
      </x:c>
    </x:row>
    <x:row r="17">
      <x:c r="A17" s="9"/>
      <x:c r="B17" s="9"/>
      <x:c r="C17" s="9"/>
      <x:c r="D17" s="9"/>
      <x:c r="E17" s="9"/>
      <x:c r="F17" s="10" t="str">
        <x:f>IF(OR(A17="",C17="",D17="",E17=""),"",C17*(D17-E17)/60*12)</x:f>
      </x:c>
    </x:row>
    <x:row r="18">
      <x:c r="A18" s="9"/>
      <x:c r="B18" s="9"/>
      <x:c r="C18" s="9"/>
      <x:c r="D18" s="9"/>
      <x:c r="E18" s="9"/>
      <x:c r="F18" s="10" t="str">
        <x:f>IF(OR(A18="",C18="",D18="",E18=""),"",C18*(D18-E18)/60*12)</x:f>
      </x:c>
    </x:row>
    <x:row r="19">
      <x:c r="A19" s="9"/>
      <x:c r="B19" s="9"/>
      <x:c r="C19" s="9"/>
      <x:c r="D19" s="9"/>
      <x:c r="E19" s="9"/>
      <x:c r="F19" s="10" t="str">
        <x:f>IF(OR(A19="",C19="",D19="",E19=""),"",C19*(D19-E19)/60*12)</x:f>
      </x:c>
    </x:row>
    <x:row r="20">
      <x:c r="A20" s="9"/>
      <x:c r="B20" s="9"/>
      <x:c r="C20" s="9"/>
      <x:c r="D20" s="9"/>
      <x:c r="E20" s="9"/>
      <x:c r="F20" s="10" t="str">
        <x:f>IF(OR(A20="",C20="",D20="",E20=""),"",C20*(D20-E20)/60*12)</x:f>
      </x:c>
    </x:row>
    <x:row r="21">
      <x:c r="A21" s="9"/>
      <x:c r="B21" s="9"/>
      <x:c r="C21" s="9"/>
      <x:c r="D21" s="9"/>
      <x:c r="E21" s="9"/>
      <x:c r="F21" s="10" t="str">
        <x:f>IF(OR(A21="",C21="",D21="",E21=""),"",C21*(D21-E21)/60*12)</x:f>
      </x:c>
    </x:row>
    <x:row r="22">
      <x:c r="A22" s="9"/>
      <x:c r="B22" s="9"/>
      <x:c r="C22" s="9"/>
      <x:c r="D22" s="9"/>
      <x:c r="E22" s="9"/>
      <x:c r="F22" s="10" t="str">
        <x:f>IF(OR(A22="",C22="",D22="",E22=""),"",C22*(D22-E22)/60*12)</x:f>
      </x:c>
    </x:row>
    <x:row r="23">
      <x:c r="A23" s="9"/>
      <x:c r="B23" s="9"/>
      <x:c r="C23" s="9"/>
      <x:c r="D23" s="9"/>
      <x:c r="E23" s="9"/>
      <x:c r="F23" s="10" t="str">
        <x:f>IF(OR(A23="",C23="",D23="",E23=""),"",C23*(D23-E23)/60*12)</x:f>
      </x:c>
    </x:row>
    <x:row r="24">
      <x:c r="A24" s="9"/>
      <x:c r="B24" s="9"/>
      <x:c r="C24" s="9"/>
      <x:c r="D24" s="9"/>
      <x:c r="E24" s="9"/>
      <x:c r="F24" s="10" t="str">
        <x:f>IF(OR(A24="",C24="",D24="",E24=""),"",C24*(D24-E24)/60*12)</x:f>
      </x:c>
    </x:row>
    <x:row r="25">
      <x:c r="A25" s="9"/>
      <x:c r="B25" s="9"/>
      <x:c r="C25" s="9"/>
      <x:c r="D25" s="9"/>
      <x:c r="E25" s="9"/>
      <x:c r="F25" s="10" t="str">
        <x:f>IF(OR(A25="",C25="",D25="",E25=""),"",C25*(D25-E25)/60*12)</x:f>
      </x:c>
    </x:row>
    <x:row r="26">
      <x:c r="A26" s="9"/>
      <x:c r="B26" s="9"/>
      <x:c r="C26" s="9"/>
      <x:c r="D26" s="9"/>
      <x:c r="E26" s="9"/>
      <x:c r="F26" s="10" t="str">
        <x:f>IF(OR(A26="",C26="",D26="",E26=""),"",C26*(D26-E26)/60*12)</x:f>
      </x:c>
    </x:row>
    <x:row r="27">
      <x:c r="A27" s="9"/>
      <x:c r="B27" s="9"/>
      <x:c r="C27" s="9"/>
      <x:c r="D27" s="9"/>
      <x:c r="E27" s="9"/>
      <x:c r="F27" s="10" t="str">
        <x:f>IF(OR(A27="",C27="",D27="",E27=""),"",C27*(D27-E27)/60*12)</x:f>
      </x:c>
    </x:row>
    <x:row r="28">
      <x:c r="A28" s="9"/>
      <x:c r="B28" s="9"/>
      <x:c r="C28" s="9"/>
      <x:c r="D28" s="9"/>
      <x:c r="E28" s="9"/>
      <x:c r="F28" s="10" t="str">
        <x:f>IF(OR(A28="",C28="",D28="",E28=""),"",C28*(D28-E28)/60*12)</x:f>
      </x:c>
    </x:row>
    <x:row r="29">
      <x:c r="A29" s="9"/>
      <x:c r="B29" s="9"/>
      <x:c r="C29" s="9"/>
      <x:c r="D29" s="9"/>
      <x:c r="E29" s="9"/>
      <x:c r="F29" s="10" t="str">
        <x:f>IF(OR(A29="",C29="",D29="",E29=""),"",C29*(D29-E29)/60*12)</x:f>
      </x:c>
    </x:row>
    <x:row r="30">
      <x:c r="A30" s="9"/>
      <x:c r="B30" s="9"/>
      <x:c r="C30" s="9"/>
      <x:c r="D30" s="9"/>
      <x:c r="E30" s="9"/>
      <x:c r="F30" s="10" t="str">
        <x:f>IF(OR(A30="",C30="",D30="",E30=""),"",C30*(D30-E30)/60*12)</x:f>
      </x:c>
    </x:row>
    <x:row r="31">
      <x:c r="A31" s="9"/>
      <x:c r="B31" s="9"/>
      <x:c r="C31" s="9"/>
      <x:c r="D31" s="9"/>
      <x:c r="E31" s="9"/>
      <x:c r="F31" s="10" t="str">
        <x:f>IF(OR(A31="",C31="",D31="",E31=""),"",C31*(D31-E31)/60*12)</x:f>
      </x:c>
    </x:row>
    <x:row r="32">
      <x:c r="A32" s="9"/>
      <x:c r="B32" s="9"/>
      <x:c r="C32" s="9"/>
      <x:c r="D32" s="9"/>
      <x:c r="E32" s="9"/>
      <x:c r="F32" s="10" t="str">
        <x:f>IF(OR(A32="",C32="",D32="",E32=""),"",C32*(D32-E32)/60*12)</x:f>
      </x:c>
    </x:row>
    <x:row r="33">
      <x:c r="A33" s="9"/>
      <x:c r="B33" s="9"/>
      <x:c r="C33" s="9"/>
      <x:c r="D33" s="9"/>
      <x:c r="E33" s="9"/>
      <x:c r="F33" s="10" t="str">
        <x:f>IF(OR(A33="",C33="",D33="",E33=""),"",C33*(D33-E33)/60*12)</x:f>
      </x:c>
    </x:row>
    <x:row r="34">
      <x:c r="A34" s="9"/>
      <x:c r="B34" s="9"/>
      <x:c r="C34" s="9"/>
      <x:c r="D34" s="9"/>
      <x:c r="E34" s="9"/>
      <x:c r="F34" s="10" t="str">
        <x:f>IF(OR(A34="",C34="",D34="",E34=""),"",C34*(D34-E34)/60*12)</x:f>
      </x:c>
    </x:row>
    <x:row r="35">
      <x:c r="A35" s="9"/>
      <x:c r="B35" s="9"/>
      <x:c r="C35" s="9"/>
      <x:c r="D35" s="9"/>
      <x:c r="E35" s="9"/>
      <x:c r="F35" s="10" t="str">
        <x:f>IF(OR(A35="",C35="",D35="",E35=""),"",C35*(D35-E35)/60*12)</x:f>
      </x:c>
    </x:row>
    <x:row r="36">
      <x:c r="A36" s="9"/>
      <x:c r="B36" s="9"/>
      <x:c r="C36" s="9"/>
      <x:c r="D36" s="9"/>
      <x:c r="E36" s="9"/>
      <x:c r="F36" s="10" t="str">
        <x:f>IF(OR(A36="",C36="",D36="",E36=""),"",C36*(D36-E36)/60*12)</x:f>
      </x:c>
    </x:row>
    <x:row r="37">
      <x:c r="A37" s="9"/>
      <x:c r="B37" s="9"/>
      <x:c r="C37" s="9"/>
      <x:c r="D37" s="9"/>
      <x:c r="E37" s="9"/>
      <x:c r="F37" s="10" t="str">
        <x:f>IF(OR(A37="",C37="",D37="",E37=""),"",C37*(D37-E37)/60*12)</x:f>
      </x:c>
    </x:row>
    <x:row r="38">
      <x:c r="A38" s="9"/>
      <x:c r="B38" s="9"/>
      <x:c r="C38" s="9"/>
      <x:c r="D38" s="9"/>
      <x:c r="E38" s="9"/>
      <x:c r="F38" s="10" t="str">
        <x:f>IF(OR(A38="",C38="",D38="",E38=""),"",C38*(D38-E38)/60*12)</x:f>
      </x:c>
    </x:row>
    <x:row r="39">
      <x:c r="A39" s="9"/>
      <x:c r="B39" s="9"/>
      <x:c r="C39" s="9"/>
      <x:c r="D39" s="9"/>
      <x:c r="E39" s="9"/>
      <x:c r="F39" s="10" t="str">
        <x:f>IF(OR(A39="",C39="",D39="",E39=""),"",C39*(D39-E39)/60*12)</x:f>
      </x:c>
    </x:row>
    <x:row r="40">
      <x:c r="A40" s="9"/>
      <x:c r="B40" s="9"/>
      <x:c r="C40" s="9"/>
      <x:c r="D40" s="9"/>
      <x:c r="E40" s="9"/>
      <x:c r="F40" s="10" t="str">
        <x:f>IF(OR(A40="",C40="",D40="",E40=""),"",C40*(D40-E40)/60*12)</x:f>
      </x:c>
    </x:row>
    <x:row r="41">
      <x:c r="A41" s="9"/>
      <x:c r="B41" s="9"/>
      <x:c r="C41" s="9"/>
      <x:c r="D41" s="9"/>
      <x:c r="E41" s="9"/>
      <x:c r="F41" s="10" t="str">
        <x:f>IF(OR(A41="",C41="",D41="",E41=""),"",C41*(D41-E41)/60*12)</x:f>
      </x:c>
    </x:row>
    <x:row r="42">
      <x:c r="A42" s="9"/>
      <x:c r="B42" s="9"/>
      <x:c r="C42" s="9"/>
      <x:c r="D42" s="9"/>
      <x:c r="E42" s="9"/>
      <x:c r="F42" s="10" t="str">
        <x:f>IF(OR(A42="",C42="",D42="",E42=""),"",C42*(D42-E42)/60*12)</x:f>
      </x:c>
    </x:row>
    <x:row r="43">
      <x:c r="A43" s="9"/>
      <x:c r="B43" s="9"/>
      <x:c r="C43" s="9"/>
      <x:c r="D43" s="9"/>
      <x:c r="E43" s="9"/>
      <x:c r="F43" s="10" t="str">
        <x:f>IF(OR(A43="",C43="",D43="",E43=""),"",C43*(D43-E43)/60*12)</x:f>
      </x:c>
    </x:row>
    <x:row r="44">
      <x:c r="A44" s="9"/>
      <x:c r="B44" s="9"/>
      <x:c r="C44" s="9"/>
      <x:c r="D44" s="9"/>
      <x:c r="E44" s="9"/>
      <x:c r="F44" s="10" t="str">
        <x:f>IF(OR(A44="",C44="",D44="",E44=""),"",C44*(D44-E44)/60*12)</x:f>
      </x:c>
    </x:row>
    <x:row r="45">
      <x:c r="A45" s="9"/>
      <x:c r="B45" s="9"/>
      <x:c r="C45" s="9"/>
      <x:c r="D45" s="9"/>
      <x:c r="E45" s="9"/>
      <x:c r="F45" s="10" t="str">
        <x:f>IF(OR(A45="",C45="",D45="",E45=""),"",C45*(D45-E45)/60*12)</x:f>
      </x:c>
    </x:row>
    <x:row r="46">
      <x:c r="A46" s="9"/>
      <x:c r="B46" s="9"/>
      <x:c r="C46" s="9"/>
      <x:c r="D46" s="9"/>
      <x:c r="E46" s="9"/>
      <x:c r="F46" s="10" t="str">
        <x:f>IF(OR(A46="",C46="",D46="",E46=""),"",C46*(D46-E46)/60*12)</x:f>
      </x:c>
    </x:row>
    <x:row r="47">
      <x:c r="A47" s="9"/>
      <x:c r="B47" s="9"/>
      <x:c r="C47" s="9"/>
      <x:c r="D47" s="9"/>
      <x:c r="E47" s="9"/>
      <x:c r="F47" s="10" t="str">
        <x:f>IF(OR(A47="",C47="",D47="",E47=""),"",C47*(D47-E47)/60*12)</x:f>
      </x:c>
    </x:row>
    <x:row r="48">
      <x:c r="A48" s="9"/>
      <x:c r="B48" s="9"/>
      <x:c r="C48" s="9"/>
      <x:c r="D48" s="9"/>
      <x:c r="E48" s="9"/>
      <x:c r="F48" s="10" t="str">
        <x:f>IF(OR(A48="",C48="",D48="",E48=""),"",C48*(D48-E48)/60*12)</x:f>
      </x:c>
    </x:row>
    <x:row r="49">
      <x:c r="A49" s="9"/>
      <x:c r="B49" s="9"/>
      <x:c r="C49" s="9"/>
      <x:c r="D49" s="9"/>
      <x:c r="E49" s="9"/>
      <x:c r="F49" s="10" t="str">
        <x:f>IF(OR(A49="",C49="",D49="",E49=""),"",C49*(D49-E49)/60*12)</x:f>
      </x:c>
    </x:row>
    <x:row r="50">
      <x:c r="A50" s="9"/>
      <x:c r="B50" s="9"/>
      <x:c r="C50" s="9"/>
      <x:c r="D50" s="9"/>
      <x:c r="E50" s="9"/>
      <x:c r="F50" s="10" t="str">
        <x:f>IF(OR(A50="",C50="",D50="",E50=""),"",C50*(D50-E50)/60*12)</x:f>
      </x:c>
    </x:row>
    <x:row r="51">
      <x:c r="A51" s="9"/>
      <x:c r="B51" s="9"/>
      <x:c r="C51" s="9"/>
      <x:c r="D51" s="9"/>
      <x:c r="E51" s="9"/>
      <x:c r="F51" s="10" t="str">
        <x:f>IF(OR(A51="",C51="",D51="",E51=""),"",C51*(D51-E51)/60*12)</x:f>
      </x:c>
    </x:row>
    <x:row r="52">
      <x:c r="A52" s="9"/>
      <x:c r="B52" s="9"/>
      <x:c r="C52" s="9"/>
      <x:c r="D52" s="9"/>
      <x:c r="E52" s="9"/>
      <x:c r="F52" s="10" t="str">
        <x:f>IF(OR(A52="",C52="",D52="",E52=""),"",C52*(D52-E52)/60*12)</x:f>
      </x:c>
    </x:row>
    <x:row r="53">
      <x:c r="A53" s="9"/>
      <x:c r="B53" s="9"/>
      <x:c r="C53" s="9"/>
      <x:c r="D53" s="9"/>
      <x:c r="E53" s="9"/>
      <x:c r="F53" s="10" t="str">
        <x:f>IF(OR(A53="",C53="",D53="",E53=""),"",C53*(D53-E53)/60*12)</x:f>
      </x:c>
    </x:row>
    <x:row r="54">
      <x:c r="A54" s="9"/>
      <x:c r="B54" s="9"/>
      <x:c r="C54" s="9"/>
      <x:c r="D54" s="9"/>
      <x:c r="E54" s="9"/>
      <x:c r="F54" s="10" t="str">
        <x:f>IF(OR(A54="",C54="",D54="",E54=""),"",C54*(D54-E54)/60*12)</x:f>
      </x:c>
    </x:row>
    <x:row r="55">
      <x:c r="A55" s="9"/>
      <x:c r="B55" s="9"/>
      <x:c r="C55" s="9"/>
      <x:c r="D55" s="9"/>
      <x:c r="E55" s="9"/>
      <x:c r="F55" s="10" t="str">
        <x:f>IF(OR(A55="",C55="",D55="",E55=""),"",C55*(D55-E55)/60*12)</x:f>
      </x:c>
    </x:row>
    <x:row r="56">
      <x:c r="A56" s="9"/>
      <x:c r="B56" s="9"/>
      <x:c r="C56" s="9"/>
      <x:c r="D56" s="9"/>
      <x:c r="E56" s="9"/>
      <x:c r="F56" s="10" t="str">
        <x:f>IF(OR(A56="",C56="",D56="",E56=""),"",C56*(D56-E56)/60*12)</x:f>
      </x:c>
    </x:row>
    <x:row r="57">
      <x:c r="A57" s="9"/>
      <x:c r="B57" s="9"/>
      <x:c r="C57" s="9"/>
      <x:c r="D57" s="9"/>
      <x:c r="E57" s="9"/>
      <x:c r="F57" s="10" t="str">
        <x:f>IF(OR(A57="",C57="",D57="",E57=""),"",C57*(D57-E57)/60*12)</x:f>
      </x:c>
    </x:row>
    <x:row r="58">
      <x:c r="A58" s="9"/>
      <x:c r="B58" s="9"/>
      <x:c r="C58" s="9"/>
      <x:c r="D58" s="9"/>
      <x:c r="E58" s="9"/>
      <x:c r="F58" s="10" t="str">
        <x:f>IF(OR(A58="",C58="",D58="",E58=""),"",C58*(D58-E58)/60*12)</x:f>
      </x:c>
    </x:row>
    <x:row r="59">
      <x:c r="A59" s="9"/>
      <x:c r="B59" s="9"/>
      <x:c r="C59" s="9"/>
      <x:c r="D59" s="9"/>
      <x:c r="E59" s="9"/>
      <x:c r="F59" s="10" t="str">
        <x:f>IF(OR(A59="",C59="",D59="",E59=""),"",C59*(D59-E59)/60*12)</x:f>
      </x:c>
    </x:row>
    <x:row r="60">
      <x:c r="A60" s="9"/>
      <x:c r="B60" s="9"/>
      <x:c r="C60" s="9"/>
      <x:c r="D60" s="9"/>
      <x:c r="E60" s="9"/>
      <x:c r="F60" s="10" t="str">
        <x:f>IF(OR(A60="",C60="",D60="",E60=""),"",C60*(D60-E60)/60*12)</x:f>
      </x:c>
    </x:row>
    <x:row r="61">
      <x:c r="A61" s="9"/>
      <x:c r="B61" s="9"/>
      <x:c r="C61" s="9"/>
      <x:c r="D61" s="9"/>
      <x:c r="E61" s="9"/>
      <x:c r="F61" s="10" t="str">
        <x:f>IF(OR(A61="",C61="",D61="",E61=""),"",C61*(D61-E61)/60*12)</x:f>
      </x:c>
    </x:row>
    <x:row r="62">
      <x:c r="A62" s="9"/>
      <x:c r="B62" s="9"/>
      <x:c r="C62" s="9"/>
      <x:c r="D62" s="9"/>
      <x:c r="E62" s="9"/>
      <x:c r="F62" s="10" t="str">
        <x:f>IF(OR(A62="",C62="",D62="",E62=""),"",C62*(D62-E62)/60*12)</x:f>
      </x:c>
    </x:row>
    <x:row r="63">
      <x:c r="A63" s="9"/>
      <x:c r="B63" s="9"/>
      <x:c r="C63" s="9"/>
      <x:c r="D63" s="9"/>
      <x:c r="E63" s="9"/>
      <x:c r="F63" s="10" t="str">
        <x:f>IF(OR(A63="",C63="",D63="",E63=""),"",C63*(D63-E63)/60*12)</x:f>
      </x:c>
    </x:row>
    <x:row r="64">
      <x:c r="A64" s="9"/>
      <x:c r="B64" s="9"/>
      <x:c r="C64" s="9"/>
      <x:c r="D64" s="9"/>
      <x:c r="E64" s="9"/>
      <x:c r="F64" s="10" t="str">
        <x:f>IF(OR(A64="",C64="",D64="",E64=""),"",C64*(D64-E64)/60*12)</x:f>
      </x:c>
    </x:row>
    <x:row r="65">
      <x:c r="A65" s="9"/>
      <x:c r="B65" s="9"/>
      <x:c r="C65" s="9"/>
      <x:c r="D65" s="9"/>
      <x:c r="E65" s="9"/>
      <x:c r="F65" s="10" t="str">
        <x:f>IF(OR(A65="",C65="",D65="",E65=""),"",C65*(D65-E65)/60*12)</x:f>
      </x:c>
    </x:row>
    <x:row r="66">
      <x:c r="A66" s="9"/>
      <x:c r="B66" s="9"/>
      <x:c r="C66" s="9"/>
      <x:c r="D66" s="9"/>
      <x:c r="E66" s="9"/>
      <x:c r="F66" s="10" t="str">
        <x:f>IF(OR(A66="",C66="",D66="",E66=""),"",C66*(D66-E66)/60*12)</x:f>
      </x:c>
    </x:row>
    <x:row r="67">
      <x:c r="A67" s="9"/>
      <x:c r="B67" s="9"/>
      <x:c r="C67" s="9"/>
      <x:c r="D67" s="9"/>
      <x:c r="E67" s="9"/>
      <x:c r="F67" s="10" t="str">
        <x:f>IF(OR(A67="",C67="",D67="",E67=""),"",C67*(D67-E67)/60*12)</x:f>
      </x:c>
    </x:row>
    <x:row r="68">
      <x:c r="A68" s="9"/>
      <x:c r="B68" s="9"/>
      <x:c r="C68" s="9"/>
      <x:c r="D68" s="9"/>
      <x:c r="E68" s="9"/>
      <x:c r="F68" s="10" t="str">
        <x:f>IF(OR(A68="",C68="",D68="",E68=""),"",C68*(D68-E68)/60*12)</x:f>
      </x:c>
    </x:row>
    <x:row r="69">
      <x:c r="A69" s="9"/>
      <x:c r="B69" s="9"/>
      <x:c r="C69" s="9"/>
      <x:c r="D69" s="9"/>
      <x:c r="E69" s="9"/>
      <x:c r="F69" s="10" t="str">
        <x:f>IF(OR(A69="",C69="",D69="",E69=""),"",C69*(D69-E69)/60*12)</x:f>
      </x:c>
    </x:row>
    <x:row r="70">
      <x:c r="A70" s="9"/>
      <x:c r="B70" s="9"/>
      <x:c r="C70" s="9"/>
      <x:c r="D70" s="9"/>
      <x:c r="E70" s="9"/>
      <x:c r="F70" s="10" t="str">
        <x:f>IF(OR(A70="",C70="",D70="",E70=""),"",C70*(D70-E70)/60*12)</x:f>
      </x:c>
    </x:row>
    <x:row r="71">
      <x:c r="A71" s="9"/>
      <x:c r="B71" s="9"/>
      <x:c r="C71" s="9"/>
      <x:c r="D71" s="9"/>
      <x:c r="E71" s="9"/>
      <x:c r="F71" s="10" t="str">
        <x:f>IF(OR(A71="",C71="",D71="",E71=""),"",C71*(D71-E71)/60*12)</x:f>
      </x:c>
    </x:row>
    <x:row r="72">
      <x:c r="A72" s="9"/>
      <x:c r="B72" s="9"/>
      <x:c r="C72" s="9"/>
      <x:c r="D72" s="9"/>
      <x:c r="E72" s="9"/>
      <x:c r="F72" s="10" t="str">
        <x:f>IF(OR(A72="",C72="",D72="",E72=""),"",C72*(D72-E72)/60*12)</x:f>
      </x:c>
    </x:row>
    <x:row r="73">
      <x:c r="A73" s="9"/>
      <x:c r="B73" s="9"/>
      <x:c r="C73" s="9"/>
      <x:c r="D73" s="9"/>
      <x:c r="E73" s="9"/>
      <x:c r="F73" s="10" t="str">
        <x:f>IF(OR(A73="",C73="",D73="",E73=""),"",C73*(D73-E73)/60*12)</x:f>
      </x:c>
    </x:row>
    <x:row r="74">
      <x:c r="A74" s="9"/>
      <x:c r="B74" s="9"/>
      <x:c r="C74" s="9"/>
      <x:c r="D74" s="9"/>
      <x:c r="E74" s="9"/>
      <x:c r="F74" s="10" t="str">
        <x:f>IF(OR(A74="",C74="",D74="",E74=""),"",C74*(D74-E74)/60*12)</x:f>
      </x:c>
    </x:row>
    <x:row r="75">
      <x:c r="A75" s="9"/>
      <x:c r="B75" s="9"/>
      <x:c r="C75" s="9"/>
      <x:c r="D75" s="9"/>
      <x:c r="E75" s="9"/>
      <x:c r="F75" s="10" t="str">
        <x:f>IF(OR(A75="",C75="",D75="",E75=""),"",C75*(D75-E75)/60*12)</x:f>
      </x:c>
    </x:row>
    <x:row r="76">
      <x:c r="A76" s="9"/>
      <x:c r="B76" s="9"/>
      <x:c r="C76" s="9"/>
      <x:c r="D76" s="9"/>
      <x:c r="E76" s="9"/>
      <x:c r="F76" s="10" t="str">
        <x:f>IF(OR(A76="",C76="",D76="",E76=""),"",C76*(D76-E76)/60*12)</x:f>
      </x:c>
    </x:row>
    <x:row r="77">
      <x:c r="A77" s="9"/>
      <x:c r="B77" s="9"/>
      <x:c r="C77" s="9"/>
      <x:c r="D77" s="9"/>
      <x:c r="E77" s="9"/>
      <x:c r="F77" s="10" t="str">
        <x:f>IF(OR(A77="",C77="",D77="",E77=""),"",C77*(D77-E77)/60*12)</x:f>
      </x:c>
    </x:row>
    <x:row r="78">
      <x:c r="A78" s="9"/>
      <x:c r="B78" s="9"/>
      <x:c r="C78" s="9"/>
      <x:c r="D78" s="9"/>
      <x:c r="E78" s="9"/>
      <x:c r="F78" s="10" t="str">
        <x:f>IF(OR(A78="",C78="",D78="",E78=""),"",C78*(D78-E78)/60*12)</x:f>
      </x:c>
    </x:row>
    <x:row r="79">
      <x:c r="A79" s="9"/>
      <x:c r="B79" s="9"/>
      <x:c r="C79" s="9"/>
      <x:c r="D79" s="9"/>
      <x:c r="E79" s="9"/>
      <x:c r="F79" s="10" t="str">
        <x:f>IF(OR(A79="",C79="",D79="",E79=""),"",C79*(D79-E79)/60*12)</x:f>
      </x:c>
    </x:row>
    <x:row r="80">
      <x:c r="A80" s="9"/>
      <x:c r="B80" s="9"/>
      <x:c r="C80" s="9"/>
      <x:c r="D80" s="9"/>
      <x:c r="E80" s="9"/>
      <x:c r="F80" s="10" t="str">
        <x:f>IF(OR(A80="",C80="",D80="",E80=""),"",C80*(D80-E80)/60*12)</x:f>
      </x:c>
    </x:row>
    <x:row r="81">
      <x:c r="A81" s="9"/>
      <x:c r="B81" s="9"/>
      <x:c r="C81" s="9"/>
      <x:c r="D81" s="9"/>
      <x:c r="E81" s="9"/>
      <x:c r="F81" s="10" t="str">
        <x:f>IF(OR(A81="",C81="",D81="",E81=""),"",C81*(D81-E81)/60*12)</x:f>
      </x:c>
    </x:row>
    <x:row r="82">
      <x:c r="A82" s="9"/>
      <x:c r="B82" s="9"/>
      <x:c r="C82" s="9"/>
      <x:c r="D82" s="9"/>
      <x:c r="E82" s="9"/>
      <x:c r="F82" s="10" t="str">
        <x:f>IF(OR(A82="",C82="",D82="",E82=""),"",C82*(D82-E82)/60*12)</x:f>
      </x:c>
    </x:row>
    <x:row r="83">
      <x:c r="A83" s="9"/>
      <x:c r="B83" s="9"/>
      <x:c r="C83" s="9"/>
      <x:c r="D83" s="9"/>
      <x:c r="E83" s="9"/>
      <x:c r="F83" s="10" t="str">
        <x:f>IF(OR(A83="",C83="",D83="",E83=""),"",C83*(D83-E83)/60*12)</x:f>
      </x:c>
    </x:row>
    <x:row r="84">
      <x:c r="A84" s="9"/>
      <x:c r="B84" s="9"/>
      <x:c r="C84" s="9"/>
      <x:c r="D84" s="9"/>
      <x:c r="E84" s="9"/>
      <x:c r="F84" s="10" t="str">
        <x:f>IF(OR(A84="",C84="",D84="",E84=""),"",C84*(D84-E84)/60*12)</x:f>
      </x:c>
    </x:row>
    <x:row r="85">
      <x:c r="A85" s="9"/>
      <x:c r="B85" s="9"/>
      <x:c r="C85" s="9"/>
      <x:c r="D85" s="9"/>
      <x:c r="E85" s="9"/>
      <x:c r="F85" s="10" t="str">
        <x:f>IF(OR(A85="",C85="",D85="",E85=""),"",C85*(D85-E85)/60*12)</x:f>
      </x:c>
    </x:row>
    <x:row r="86">
      <x:c r="A86" s="9"/>
      <x:c r="B86" s="9"/>
      <x:c r="C86" s="9"/>
      <x:c r="D86" s="9"/>
      <x:c r="E86" s="9"/>
      <x:c r="F86" s="10" t="str">
        <x:f>IF(OR(A86="",C86="",D86="",E86=""),"",C86*(D86-E86)/60*12)</x:f>
      </x:c>
    </x:row>
    <x:row r="87">
      <x:c r="A87" s="9"/>
      <x:c r="B87" s="9"/>
      <x:c r="C87" s="9"/>
      <x:c r="D87" s="9"/>
      <x:c r="E87" s="9"/>
      <x:c r="F87" s="10" t="str">
        <x:f>IF(OR(A87="",C87="",D87="",E87=""),"",C87*(D87-E87)/60*12)</x:f>
      </x:c>
    </x:row>
    <x:row r="88">
      <x:c r="A88" s="9"/>
      <x:c r="B88" s="9"/>
      <x:c r="C88" s="9"/>
      <x:c r="D88" s="9"/>
      <x:c r="E88" s="9"/>
      <x:c r="F88" s="10" t="str">
        <x:f>IF(OR(A88="",C88="",D88="",E88=""),"",C88*(D88-E88)/60*12)</x:f>
      </x:c>
    </x:row>
    <x:row r="89">
      <x:c r="A89" s="9"/>
      <x:c r="B89" s="9"/>
      <x:c r="C89" s="9"/>
      <x:c r="D89" s="9"/>
      <x:c r="E89" s="9"/>
      <x:c r="F89" s="10" t="str">
        <x:f>IF(OR(A89="",C89="",D89="",E89=""),"",C89*(D89-E89)/60*12)</x:f>
      </x:c>
    </x:row>
    <x:row r="90">
      <x:c r="A90" s="9"/>
      <x:c r="B90" s="9"/>
      <x:c r="C90" s="9"/>
      <x:c r="D90" s="9"/>
      <x:c r="E90" s="9"/>
      <x:c r="F90" s="10" t="str">
        <x:f>IF(OR(A90="",C90="",D90="",E90=""),"",C90*(D90-E90)/60*12)</x:f>
      </x:c>
    </x:row>
    <x:row r="91">
      <x:c r="A91" s="9"/>
      <x:c r="B91" s="9"/>
      <x:c r="C91" s="9"/>
      <x:c r="D91" s="9"/>
      <x:c r="E91" s="9"/>
      <x:c r="F91" s="10" t="str">
        <x:f>IF(OR(A91="",C91="",D91="",E91=""),"",C91*(D91-E91)/60*12)</x:f>
      </x:c>
    </x:row>
    <x:row r="92">
      <x:c r="A92" s="9"/>
      <x:c r="B92" s="9"/>
      <x:c r="C92" s="9"/>
      <x:c r="D92" s="9"/>
      <x:c r="E92" s="9"/>
      <x:c r="F92" s="10" t="str">
        <x:f>IF(OR(A92="",C92="",D92="",E92=""),"",C92*(D92-E92)/60*12)</x:f>
      </x:c>
    </x:row>
    <x:row r="93">
      <x:c r="A93" s="9"/>
      <x:c r="B93" s="9"/>
      <x:c r="C93" s="9"/>
      <x:c r="D93" s="9"/>
      <x:c r="E93" s="9"/>
      <x:c r="F93" s="10" t="str">
        <x:f>IF(OR(A93="",C93="",D93="",E93=""),"",C93*(D93-E93)/60*12)</x:f>
      </x:c>
    </x:row>
    <x:row r="94">
      <x:c r="A94" s="9"/>
      <x:c r="B94" s="9"/>
      <x:c r="C94" s="9"/>
      <x:c r="D94" s="9"/>
      <x:c r="E94" s="9"/>
      <x:c r="F94" s="10" t="str">
        <x:f>IF(OR(A94="",C94="",D94="",E94=""),"",C94*(D94-E94)/60*12)</x:f>
      </x:c>
    </x:row>
    <x:row r="95">
      <x:c r="A95" s="9"/>
      <x:c r="B95" s="9"/>
      <x:c r="C95" s="9"/>
      <x:c r="D95" s="9"/>
      <x:c r="E95" s="9"/>
      <x:c r="F95" s="10" t="str">
        <x:f>IF(OR(A95="",C95="",D95="",E95=""),"",C95*(D95-E95)/60*12)</x:f>
      </x:c>
    </x:row>
    <x:row r="96">
      <x:c r="A96" s="9"/>
      <x:c r="B96" s="9"/>
      <x:c r="C96" s="9"/>
      <x:c r="D96" s="9"/>
      <x:c r="E96" s="9"/>
      <x:c r="F96" s="10" t="str">
        <x:f>IF(OR(A96="",C96="",D96="",E96=""),"",C96*(D96-E96)/60*12)</x:f>
      </x:c>
    </x:row>
    <x:row r="97">
      <x:c r="A97" s="9"/>
      <x:c r="B97" s="9"/>
      <x:c r="C97" s="9"/>
      <x:c r="D97" s="9"/>
      <x:c r="E97" s="9"/>
      <x:c r="F97" s="10" t="str">
        <x:f>IF(OR(A97="",C97="",D97="",E97=""),"",C97*(D97-E97)/60*12)</x:f>
      </x:c>
    </x:row>
    <x:row r="98">
      <x:c r="A98" s="9"/>
      <x:c r="B98" s="9"/>
      <x:c r="C98" s="9"/>
      <x:c r="D98" s="9"/>
      <x:c r="E98" s="9"/>
      <x:c r="F98" s="10" t="str">
        <x:f>IF(OR(A98="",C98="",D98="",E98=""),"",C98*(D98-E98)/60*12)</x:f>
      </x:c>
    </x:row>
    <x:row r="99">
      <x:c r="A99" s="9"/>
      <x:c r="B99" s="9"/>
      <x:c r="C99" s="9"/>
      <x:c r="D99" s="9"/>
      <x:c r="E99" s="9"/>
      <x:c r="F99" s="10" t="str">
        <x:f>IF(OR(A99="",C99="",D99="",E99=""),"",C99*(D99-E99)/60*12)</x:f>
      </x:c>
    </x:row>
    <x:row r="100">
      <x:c r="A100" s="9"/>
      <x:c r="B100" s="9"/>
      <x:c r="C100" s="9"/>
      <x:c r="D100" s="9"/>
      <x:c r="E100" s="9"/>
      <x:c r="F100" s="10" t="str">
        <x:f>IF(OR(A100="",C100="",D100="",E100=""),"",C100*(D100-E100)/60*12)</x:f>
      </x:c>
    </x:row>
    <x:row r="101">
      <x:c r="A101" s="9"/>
      <x:c r="B101" s="9"/>
      <x:c r="C101" s="9"/>
      <x:c r="D101" s="9"/>
      <x:c r="E101" s="9"/>
      <x:c r="F101" s="10" t="str">
        <x:f>IF(OR(A101="",C101="",D101="",E101=""),"",C101*(D101-E101)/60*12)</x:f>
      </x:c>
    </x:row>
    <x:row r="102">
      <x:c r="A102" s="9"/>
      <x:c r="B102" s="9"/>
      <x:c r="C102" s="9"/>
      <x:c r="D102" s="9"/>
      <x:c r="E102" s="9"/>
      <x:c r="F102" s="10" t="str">
        <x:f>IF(OR(A102="",C102="",D102="",E102=""),"",C102*(D102-E102)/60*12)</x:f>
      </x:c>
    </x:row>
    <x:row r="103">
      <x:c r="A103" s="9"/>
      <x:c r="B103" s="9"/>
      <x:c r="C103" s="9"/>
      <x:c r="D103" s="9"/>
      <x:c r="E103" s="9"/>
      <x:c r="F103" s="10" t="str">
        <x:f>IF(OR(A103="",C103="",D103="",E103=""),"",C103*(D103-E103)/60*12)</x:f>
      </x:c>
    </x:row>
    <x:row r="104">
      <x:c r="A104" s="9"/>
      <x:c r="B104" s="9"/>
      <x:c r="C104" s="9"/>
      <x:c r="D104" s="9"/>
      <x:c r="E104" s="9"/>
      <x:c r="F104" s="10" t="str">
        <x:f>IF(OR(A104="",C104="",D104="",E104=""),"",C104*(D104-E104)/60*12)</x:f>
      </x:c>
    </x:row>
    <x:row r="105">
      <x:c r="A105" s="9"/>
      <x:c r="B105" s="9"/>
      <x:c r="C105" s="9"/>
      <x:c r="D105" s="9"/>
      <x:c r="E105" s="9"/>
      <x:c r="F105" s="10" t="str">
        <x:f>IF(OR(A105="",C105="",D105="",E105=""),"",C105*(D105-E105)/60*12)</x:f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4F776E"/>
  </x:sheetPr>
  <x:sheetViews>
    <x:sheetView showGridLines="0" workbookViewId="0"/>
  </x:sheetViews>
  <x:sheetFormatPr defaultRowHeight="15"/>
  <x:cols>
    <x:col min="1" max="1" width="47" hidden="0" customWidth="1"/>
    <x:col min="2" max="2" width="24" hidden="0" customWidth="1"/>
    <x:col min="4" max="4" width="92" hidden="0" customWidth="1"/>
  </x:cols>
  <x:sheetData>
    <x:row r="2">
      <x:c r="A2" s="16" t="str">
        <x:v>追加 20 岗后的累计 43 岗情景</x:v>
      </x:c>
      <x:c r="B2" s="16"/>
    </x:row>
    <x:row r="3">
      <x:c r="A3" s="4" t="str">
        <x:v>43 岗是董事长压力测试，不是已经核准的人员名单。黄色参数仍需集团填报。</x:v>
      </x:c>
      <x:c r="B3" s="4"/>
    </x:row>
    <x:row r="4">
      <x:c r="A4" s="2"/>
      <x:c r="B4" s="2"/>
    </x:row>
    <x:row r="5">
      <x:c r="A5" s="17" t="str">
        <x:v>首年净现金节约目标 元</x:v>
      </x:c>
      <x:c r="B5" s="14" t="n">
        <x:v>2000000</x:v>
      </x:c>
      <x:c r="D5" s="4" t="str">
        <x:v>三种目标口径</x:v>
      </x:c>
    </x:row>
    <x:row r="6">
      <x:c r="A6" s="17" t="str">
        <x:v>每岗位年全成本 假设元</x:v>
      </x:c>
      <x:c r="B6" s="14" t="n">
        <x:v>120000</x:v>
      </x:c>
      <x:c r="D6" s="4" t="str">
        <x:v>主要目标：首 12 个月累计人力成本减少 ≥200 万；净现金与稳定年化另列。</x:v>
      </x:c>
    </x:row>
    <x:row r="7">
      <x:c r="A7" s="17" t="str">
        <x:v>首年实际节约月份 假设</x:v>
      </x:c>
      <x:c r="B7" s="14" t="n">
        <x:v>9</x:v>
      </x:c>
      <x:c r="D7" s="4" t="str">
        <x:v>② 启动后首 12 个月净现金节约 ≥200 万：还需计入实际节约月份与过渡、AI 成本。</x:v>
      </x:c>
    </x:row>
    <x:row r="8">
      <x:c r="A8" s="17" t="str">
        <x:v>一次性过渡成本 假设元</x:v>
      </x:c>
      <x:c r="B8" s="14" t="n">
        <x:v>350000</x:v>
      </x:c>
      <x:c r="D8" s="4"/>
    </x:row>
    <x:row r="9">
      <x:c r="A9" s="17" t="str">
        <x:v>首年 AI 平台实施复核费 假设元</x:v>
      </x:c>
      <x:c r="B9" s="14" t="n">
        <x:v>250000</x:v>
      </x:c>
      <x:c r="D9" s="4" t="str">
        <x:v>董事长决策闸门</x:v>
      </x:c>
    </x:row>
    <x:row r="10">
      <x:c r="A10" s="17" t="str">
        <x:v>每岗位年工时 假设</x:v>
      </x:c>
      <x:c r="B10" s="14" t="n">
        <x:v>1800</x:v>
      </x:c>
      <x:c r="D10" s="4" t="str">
        <x:v>招生、教务、行政、外包岗位先行；教师不直接计入减编池。</x:v>
      </x:c>
    </x:row>
    <x:row r="11">
      <x:c r="A11" s="2"/>
      <x:c r="B11" s="2"/>
      <x:c r="D11" s="4" t="str">
        <x:v>只有岗位底线、服务质量、法人用工路径全部通过，才可填实际离岗人数。</x:v>
      </x:c>
    </x:row>
    <x:row r="12">
      <x:c r="A12" s="17" t="str">
        <x:v>为达首年净目标所需实际岗位数</x:v>
      </x:c>
      <x:c r="B12" s="21" t="n">
        <x:f>IF(OR(COUNT(B5:B10)&lt;6,B6&lt;=0,B7&lt;=0),"待填",ROUNDUP((B5+B8+B9)/(B6*B7/12),0))</x:f>
        <x:v>29</x:v>
      </x:c>
      <x:c r="D12" s="4" t="str">
        <x:v>未填完整岗位台账时，目标状态保持待填；29 岗仅为当前假设的数学门槛。</x:v>
      </x:c>
    </x:row>
    <x:row r="13">
      <x:c r="A13" s="17" t="str">
        <x:v>对应年释放工时门槛</x:v>
      </x:c>
      <x:c r="B13" s="21" t="n">
        <x:f>IF(ISNUMBER(B12),B12*B10,"待填")</x:f>
        <x:v>52200</x:v>
      </x:c>
      <x:c r="D13" s="4" t="str">
        <x:v>实际不同月份离岗时，须按岗位分月核算；此处统一 9 个月仅为快速情景。</x:v>
      </x:c>
    </x:row>
    <x:row r="14">
      <x:c r="A14" s="17" t="str">
        <x:v>若均摊 300 人 每周需释放小时</x:v>
      </x:c>
      <x:c r="B14" s="21" t="n">
        <x:f>IF(ISNUMBER(B13),B13/('总览'!B5*46),"待填")</x:f>
        <x:v>3.782608695652174</x:v>
      </x:c>
      <x:c r="D14" s="4" t="str">
        <x:v>依据：NBER AI 客服和跨企业工作试验；OECD TALIS；世界银行秘鲁教师试验。</x:v>
      </x:c>
    </x:row>
    <x:row r="15">
      <x:c r="A15" s="17" t="str">
        <x:v>原方案 1.5 小时每周情景 年释放工时</x:v>
      </x:c>
      <x:c r="B15" s="21" t="n">
        <x:v>20700</x:v>
      </x:c>
    </x:row>
    <x:row r="16">
      <x:c r="A16" s="17" t="str">
        <x:v>相对原情景的工时缺口</x:v>
      </x:c>
      <x:c r="B16" s="21" t="n">
        <x:f>IF(ISNUMBER(B13),MAX(0,B13-B15),"待填")</x:f>
        <x:v>31500</x:v>
      </x:c>
    </x:row>
    <x:row r="17">
      <x:c r="A17" s="17" t="str">
        <x:v>填报后按统一月份估算净现金</x:v>
      </x:c>
      <x:c r="B17" s="21" t="str">
        <x:f>IF(OR(NOT(ISNUMBER('总览'!B17)),'总览'!B18&lt;&gt;"已核对"),"待填",'总览'!B15*B7/12-'总览'!B16-'总览'!B7)</x:f>
        <x:v>待填</x:v>
      </x:c>
    </x:row>
    <x:row r="18">
      <x:c r="A18" s="17" t="str">
        <x:v>距 200 万目标差额</x:v>
      </x:c>
      <x:c r="B18" s="21" t="str">
        <x:f>IF(ISNUMBER(B17),MAX(0,B5-B17),"待填")</x:f>
        <x:v>待填</x:v>
      </x:c>
    </x:row>
    <x:row r="19">
      <x:c r="A19" s="17" t="str">
        <x:v>首年净现金目标状态</x:v>
      </x:c>
      <x:c r="B19" s="18" t="str">
        <x:f>IF(NOT(ISNUMBER(B17)),"待填",IF(B17&gt;=B5,"达标","未达标"))</x:f>
        <x:v>待填</x:v>
      </x:c>
    </x:row>
    <x:row r="20">
      <x:c r="A20" s="17" t="str">
        <x:v>集团编制数据核对状态</x:v>
      </x:c>
      <x:c r="B20" s="18" t="str">
        <x:f>'总览'!B18</x:f>
        <x:v>待填</x:v>
      </x:c>
    </x:row>
    <x:row r="21">
      <x:c r="A21" s="2"/>
      <x:c r="B21" s="2"/>
    </x:row>
    <x:row r="22">
      <x:c r="A22" s="26" t="str">
        <x:v>首年人力成本减少达标岗位门槛</x:v>
      </x:c>
      <x:c r="B22" s="27" t="n">
        <x:f>IF(OR(B6&lt;=0,B7&lt;=0),"待填",ROUNDUP(B5/(B6*B7/12),0))</x:f>
        <x:v>23</x:v>
      </x:c>
    </x:row>
    <x:row r="23">
      <x:c r="A23" s="26" t="str">
        <x:v>稳定年化人力减少达标岗位门槛</x:v>
      </x:c>
      <x:c r="B23" s="27" t="n">
        <x:f>IF(B6&lt;=0,"待填",ROUNDUP(B5/B6,0))</x:f>
        <x:v>17</x:v>
      </x:c>
    </x:row>
    <x:row r="25">
      <x:c r="A25" s="26" t="str">
        <x:v>原首年 200 万门槛岗位数</x:v>
      </x:c>
      <x:c r="B25" s="27" t="n">
        <x:v>23</x:v>
      </x:c>
      <x:c r="D25" s="4" t="str">
        <x:v>43 岗占约 300 人的 14.3%。每一岗必须有任务取消或合并证据、服务覆盖签字、真实成本和合法用工路径。</x:v>
      </x:c>
    </x:row>
    <x:row r="26">
      <x:c r="A26" s="26" t="str">
        <x:v>董事长追加压减岗位数</x:v>
      </x:c>
      <x:c r="B26" s="27" t="n">
        <x:v>20</x:v>
      </x:c>
    </x:row>
    <x:row r="27">
      <x:c r="A27" s="26" t="str">
        <x:v>累计岗位压减情景</x:v>
      </x:c>
      <x:c r="B27" s="27" t="n">
        <x:v>43</x:v>
      </x:c>
    </x:row>
    <x:row r="28">
      <x:c r="A28" s="26" t="str">
        <x:v>全部生效后的期末编制情景</x:v>
      </x:c>
      <x:c r="B28" s="27" t="n">
        <x:v>257</x:v>
      </x:c>
    </x:row>
    <x:row r="29">
      <x:c r="A29" s="26" t="str">
        <x:v>首年人力成本减少 情景元</x:v>
      </x:c>
      <x:c r="B29" s="28" t="n">
        <x:f>B27*B6*B7/12</x:f>
        <x:v>3870000</x:v>
      </x:c>
    </x:row>
    <x:row r="30">
      <x:c r="A30" s="26" t="str">
        <x:v>首年净现金 情景元</x:v>
      </x:c>
      <x:c r="B30" s="28" t="n">
        <x:f>B29-B8-B9</x:f>
        <x:v>3270000</x:v>
      </x:c>
    </x:row>
    <x:row r="31">
      <x:c r="A31" s="26" t="str">
        <x:v>稳定年化人力成本减少 情景元</x:v>
      </x:c>
      <x:c r="B31" s="28" t="n">
        <x:f>B27*B6</x:f>
        <x:v>5160000</x:v>
      </x:c>
    </x:row>
    <x:row r="32">
      <x:c r="A32" s="26" t="str">
        <x:v>年度可合并工时门槛</x:v>
      </x:c>
      <x:c r="B32" s="28" t="n">
        <x:f>B27*B10</x:f>
        <x:v>77400</x:v>
      </x:c>
    </x:row>
  </x:sheetData>
  <x:pageMargins left="0.7" right="0.7" top="0.75" bottom="0.75" header="0.3" footer="0.3"/>
</x:worksheet>
</file>